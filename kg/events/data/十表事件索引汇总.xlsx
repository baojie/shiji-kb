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十表汇总" sheetId="1" state="visible" r:id="rId3"/>
    <sheet name="013_三代世表" sheetId="2" state="visible" r:id="rId4"/>
    <sheet name="014_十二诸侯年表" sheetId="3" state="visible" r:id="rId5"/>
    <sheet name="015_六国年表" sheetId="4" state="visible" r:id="rId6"/>
    <sheet name="016_秦楚之际月表" sheetId="5" state="visible" r:id="rId7"/>
    <sheet name="017_汉兴以来诸侯王年表" sheetId="6" state="visible" r:id="rId8"/>
    <sheet name="018_高祖功臣侯者年表" sheetId="7" state="visible" r:id="rId9"/>
    <sheet name="019_惠景间侯者年表" sheetId="8" state="visible" r:id="rId10"/>
    <sheet name="020_建元以来侯者年表" sheetId="9" state="visible" r:id="rId11"/>
    <sheet name="021_建元已来王子侯者年表" sheetId="10" state="visible" r:id="rId12"/>
    <sheet name="022_汉兴以来将相名臣年表" sheetId="11" state="visible" r:id="rId13"/>
    <sheet name="统计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<sst xmlns="http://schemas.openxmlformats.org/spreadsheetml/2006/main" count="2843" uniqueCount="1054">
  <si>
    <t xml:space="preserve">章号</t>
  </si>
  <si>
    <t xml:space="preserve">章名</t>
  </si>
  <si>
    <r>
      <rPr>
        <b val="true"/>
        <sz val="11"/>
        <color rgb="FFFFFFFF"/>
        <rFont val="思源黑体"/>
        <family val="2"/>
      </rPr>
      <t xml:space="preserve">事件</t>
    </r>
    <r>
      <rPr>
        <b val="true"/>
        <sz val="11"/>
        <color rgb="FFFFFFFF"/>
        <rFont val="Cambria"/>
        <family val="0"/>
        <charset val="1"/>
      </rPr>
      <t xml:space="preserve">ID</t>
    </r>
  </si>
  <si>
    <t xml:space="preserve">事件名称</t>
  </si>
  <si>
    <t xml:space="preserve">事件类型</t>
  </si>
  <si>
    <t xml:space="preserve">时间</t>
  </si>
  <si>
    <t xml:space="preserve">地点</t>
  </si>
  <si>
    <t xml:space="preserve">主要人物</t>
  </si>
  <si>
    <t xml:space="preserve">朝代</t>
  </si>
  <si>
    <t xml:space="preserve">013</t>
  </si>
  <si>
    <t xml:space="preserve">三代世表</t>
  </si>
  <si>
    <t xml:space="preserve">013-001</t>
  </si>
  <si>
    <t xml:space="preserve">孔子因史文作春秋</t>
  </si>
  <si>
    <t xml:space="preserve">文化活动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</si>
  <si>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思源黑体"/>
        <family val="2"/>
      </rPr>
      <t xml:space="preserve">年）</t>
    </r>
  </si>
  <si>
    <t xml:space="preserve">-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</si>
  <si>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孔子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</si>
  <si>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周</t>
    </r>
    <r>
      <rPr>
        <sz val="11"/>
        <color theme="1"/>
        <rFont val="Calibri"/>
        <family val="2"/>
        <charset val="1"/>
      </rPr>
      <t xml:space="preserve">&amp;</t>
    </r>
  </si>
  <si>
    <t xml:space="preserve">013-002</t>
  </si>
  <si>
    <t xml:space="preserve">太史公编五帝世表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</si>
  <si>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</si>
  <si>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013-003</t>
  </si>
  <si>
    <t xml:space="preserve">周成王分封诸侯</t>
  </si>
  <si>
    <t xml:space="preserve">政治活动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</si>
  <si>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1042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</si>
  <si>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周公旦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太公尚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唐叔虞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微子启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康叔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召公奭</t>
    </r>
    <r>
      <rPr>
        <sz val="11"/>
        <color theme="1"/>
        <rFont val="Calibri"/>
        <family val="2"/>
        <charset val="1"/>
      </rPr>
      <t xml:space="preserve">@</t>
    </r>
  </si>
  <si>
    <t xml:space="preserve">013-004</t>
  </si>
  <si>
    <t xml:space="preserve">周昭王南巡不返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</si>
  <si>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977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</si>
  <si>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昭王瑕</t>
    </r>
    <r>
      <rPr>
        <sz val="11"/>
        <color theme="1"/>
        <rFont val="Calibri"/>
        <family val="2"/>
        <charset val="1"/>
      </rPr>
      <t xml:space="preserve">@</t>
    </r>
  </si>
  <si>
    <t xml:space="preserve">013-005</t>
  </si>
  <si>
    <t xml:space="preserve">周穆王作甫刑</t>
  </si>
  <si>
    <t xml:space="preserve">政治改革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</si>
  <si>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950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</si>
  <si>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穆王满</t>
    </r>
    <r>
      <rPr>
        <sz val="11"/>
        <color theme="1"/>
        <rFont val="Calibri"/>
        <family val="2"/>
        <charset val="1"/>
      </rPr>
      <t xml:space="preserve">@</t>
    </r>
  </si>
  <si>
    <t xml:space="preserve">013-006</t>
  </si>
  <si>
    <t xml:space="preserve">周懿王时周道衰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</si>
  <si>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895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</si>
  <si>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懿王坚</t>
    </r>
    <r>
      <rPr>
        <sz val="11"/>
        <color theme="1"/>
        <rFont val="Calibri"/>
        <family val="2"/>
        <charset val="1"/>
      </rPr>
      <t xml:space="preserve">@</t>
    </r>
  </si>
  <si>
    <t xml:space="preserve">013-007</t>
  </si>
  <si>
    <t xml:space="preserve">齐献公弑胡公</t>
  </si>
  <si>
    <t xml:space="preserve">政治整顿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</si>
  <si>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859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</si>
  <si>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献公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胡公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</si>
  <si>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</si>
  <si>
    <t xml:space="preserve">013-008</t>
  </si>
  <si>
    <t xml:space="preserve">周厉王出奔于彘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</si>
  <si>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</si>
  <si>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厉王胡</t>
    </r>
    <r>
      <rPr>
        <sz val="11"/>
        <color theme="1"/>
        <rFont val="Calibri"/>
        <family val="2"/>
        <charset val="1"/>
      </rPr>
      <t xml:space="preserve">@</t>
    </r>
  </si>
  <si>
    <t xml:space="preserve">013-009</t>
  </si>
  <si>
    <t xml:space="preserve">共和行政</t>
  </si>
  <si>
    <t xml:space="preserve">013-010</t>
  </si>
  <si>
    <t xml:space="preserve">契无父而生</t>
  </si>
  <si>
    <t xml:space="preserve">家族事件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</si>
  <si>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</si>
  <si>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</si>
  <si>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殷</t>
    </r>
    <r>
      <rPr>
        <sz val="11"/>
        <color theme="1"/>
        <rFont val="Calibri"/>
        <family val="2"/>
        <charset val="1"/>
      </rPr>
      <t xml:space="preserve">&amp;</t>
    </r>
  </si>
  <si>
    <t xml:space="preserve">013-011</t>
  </si>
  <si>
    <t xml:space="preserve">后稷无父而生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</si>
  <si>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姜嫄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</si>
  <si>
    <t xml:space="preserve">013-012</t>
  </si>
  <si>
    <t xml:space="preserve">尧封契七十里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</si>
  <si>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七十里</t>
    </r>
    <r>
      <rPr>
        <sz val="11"/>
        <color theme="1"/>
        <rFont val="Calibri"/>
        <family val="2"/>
        <charset val="1"/>
      </rPr>
      <t xml:space="preserve">% 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</si>
  <si>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</si>
  <si>
    <t xml:space="preserve">013-013</t>
  </si>
  <si>
    <t xml:space="preserve">尧封后稷百里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</si>
  <si>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百里</t>
    </r>
    <r>
      <rPr>
        <sz val="11"/>
        <color theme="1"/>
        <rFont val="Calibri"/>
        <family val="2"/>
        <charset val="1"/>
      </rPr>
      <t xml:space="preserve">% 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</si>
  <si>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</si>
  <si>
    <t xml:space="preserve">013-014</t>
  </si>
  <si>
    <t xml:space="preserve">武王封叔处于霍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</si>
  <si>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1046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</si>
  <si>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霍</t>
    </r>
    <r>
      <rPr>
        <sz val="11"/>
        <color theme="1"/>
        <rFont val="Calibri"/>
        <family val="2"/>
        <charset val="1"/>
      </rPr>
      <t xml:space="preserve">&amp;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</si>
  <si>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武王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叔处</t>
    </r>
    <r>
      <rPr>
        <sz val="11"/>
        <color theme="1"/>
        <rFont val="Calibri"/>
        <family val="2"/>
        <charset val="1"/>
      </rPr>
      <t xml:space="preserve">@</t>
    </r>
  </si>
  <si>
    <t xml:space="preserve">013-015</t>
  </si>
  <si>
    <t xml:space="preserve">晋献公灭霍</t>
  </si>
  <si>
    <t xml:space="preserve">战争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</si>
  <si>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661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</si>
  <si>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晋献公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</si>
  <si>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</t>
    </r>
  </si>
  <si>
    <t xml:space="preserve">013-016</t>
  </si>
  <si>
    <t xml:space="preserve">霍光持天下之政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</si>
  <si>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</si>
  <si>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霍光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</si>
  <si>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汉</t>
    </r>
    <r>
      <rPr>
        <sz val="11"/>
        <color theme="1"/>
        <rFont val="Calibri"/>
        <family val="2"/>
        <charset val="1"/>
      </rPr>
      <t xml:space="preserve">&amp;</t>
    </r>
  </si>
  <si>
    <t xml:space="preserve">014</t>
  </si>
  <si>
    <t xml:space="preserve">十二诸侯年表</t>
  </si>
  <si>
    <t xml:space="preserve">014-001</t>
  </si>
  <si>
    <t xml:space="preserve">纣为象箸箕子叹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</si>
  <si>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1060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</si>
  <si>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纣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箕子</t>
    </r>
    <r>
      <rPr>
        <sz val="11"/>
        <color theme="1"/>
        <rFont val="Calibri"/>
        <family val="2"/>
        <charset val="1"/>
      </rPr>
      <t xml:space="preserve">@</t>
    </r>
  </si>
  <si>
    <t xml:space="preserve">014-002</t>
  </si>
  <si>
    <t xml:space="preserve">厉王奔彘共和行政</t>
  </si>
  <si>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厉王</t>
    </r>
    <r>
      <rPr>
        <sz val="11"/>
        <color theme="1"/>
        <rFont val="Calibri"/>
        <family val="2"/>
        <charset val="1"/>
      </rPr>
      <t xml:space="preserve">$</t>
    </r>
  </si>
  <si>
    <t xml:space="preserve">014-003</t>
  </si>
  <si>
    <t xml:space="preserve">齐晋秦楚四海迭兴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</si>
  <si>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685—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</si>
  <si>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</si>
  <si>
    <t xml:space="preserve">014-004</t>
  </si>
  <si>
    <t xml:space="preserve">孔子作春秋</t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</si>
  <si>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鲁</t>
    </r>
    <r>
      <rPr>
        <sz val="11"/>
        <color theme="1"/>
        <rFont val="Calibri"/>
        <family val="2"/>
        <charset val="1"/>
      </rPr>
      <t xml:space="preserve">&amp;</t>
    </r>
  </si>
  <si>
    <t xml:space="preserve">014-005</t>
  </si>
  <si>
    <t xml:space="preserve">左丘明作左氏春秋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</si>
  <si>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468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</si>
  <si>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左丘明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孔子</t>
    </r>
    <r>
      <rPr>
        <sz val="11"/>
        <color theme="1"/>
        <rFont val="Calibri"/>
        <family val="2"/>
        <charset val="1"/>
      </rPr>
      <t xml:space="preserve">@</t>
    </r>
  </si>
  <si>
    <t xml:space="preserve">014-006</t>
  </si>
  <si>
    <t xml:space="preserve">铎椒作铎氏微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</si>
  <si>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约前</t>
    </r>
    <r>
      <rPr>
        <sz val="11"/>
        <color theme="1"/>
        <rFont val="Calibri"/>
        <family val="2"/>
        <charset val="1"/>
      </rPr>
      <t xml:space="preserve">335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</si>
  <si>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铎椒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</si>
  <si>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</si>
  <si>
    <t xml:space="preserve">014-007</t>
  </si>
  <si>
    <t xml:space="preserve">虞卿著虞氏春秋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</si>
  <si>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</si>
  <si>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虞卿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</si>
  <si>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</si>
  <si>
    <t xml:space="preserve">014-008</t>
  </si>
  <si>
    <t xml:space="preserve">吕不韦编吕氏春秋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</si>
  <si>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239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</si>
  <si>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吕不韦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</si>
  <si>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</si>
  <si>
    <t xml:space="preserve">014-009</t>
  </si>
  <si>
    <t xml:space="preserve">共和元年始纪年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</si>
  <si>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共和元年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年）</t>
    </r>
  </si>
  <si>
    <t xml:space="preserve">014-010</t>
  </si>
  <si>
    <t xml:space="preserve">宣王即位共和罢</t>
  </si>
  <si>
    <t xml:space="preserve">继位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</si>
  <si>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共和十四年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</si>
  <si>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宣王</t>
    </r>
    <r>
      <rPr>
        <sz val="11"/>
        <color theme="1"/>
        <rFont val="Calibri"/>
        <family val="2"/>
        <charset val="1"/>
      </rPr>
      <t xml:space="preserve">@</t>
    </r>
  </si>
  <si>
    <t xml:space="preserve">014-011</t>
  </si>
  <si>
    <t xml:space="preserve">周宣王诛伯御立孝公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</si>
  <si>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796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</si>
  <si>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鲁</t>
    </r>
    <r>
      <rPr>
        <sz val="11"/>
        <color theme="1"/>
        <rFont val="Calibri"/>
        <family val="2"/>
        <charset val="1"/>
      </rPr>
      <t xml:space="preserve">&amp;</t>
    </r>
  </si>
  <si>
    <t xml:space="preserve">014-012</t>
  </si>
  <si>
    <t xml:space="preserve">郑桓公始封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</si>
  <si>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806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</si>
  <si>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郑桓公友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</si>
  <si>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郑</t>
    </r>
    <r>
      <rPr>
        <sz val="11"/>
        <color theme="1"/>
        <rFont val="Calibri"/>
        <family val="2"/>
        <charset val="1"/>
      </rPr>
      <t xml:space="preserve">&amp;</t>
    </r>
  </si>
  <si>
    <t xml:space="preserve">015</t>
  </si>
  <si>
    <t xml:space="preserve">六国年表</t>
  </si>
  <si>
    <t xml:space="preserve">015-001</t>
  </si>
  <si>
    <t xml:space="preserve">犬戎败幽王周东迁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</si>
  <si>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771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</si>
  <si>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幽王</t>
    </r>
    <r>
      <rPr>
        <sz val="11"/>
        <color theme="1"/>
        <rFont val="Calibri"/>
        <family val="2"/>
        <charset val="1"/>
      </rPr>
      <t xml:space="preserve">$</t>
    </r>
  </si>
  <si>
    <t xml:space="preserve">015-002</t>
  </si>
  <si>
    <t xml:space="preserve">秦襄公始封为诸侯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</si>
  <si>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770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</si>
  <si>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襄公</t>
    </r>
    <r>
      <rPr>
        <sz val="11"/>
        <color theme="1"/>
        <rFont val="Calibri"/>
        <family val="2"/>
        <charset val="1"/>
      </rPr>
      <t xml:space="preserve">$</t>
    </r>
  </si>
  <si>
    <t xml:space="preserve">015-003</t>
  </si>
  <si>
    <t xml:space="preserve">秦文公逾陇攘夷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</si>
  <si>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</si>
  <si>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文公</t>
    </r>
    <r>
      <rPr>
        <sz val="11"/>
        <color theme="1"/>
        <rFont val="Calibri"/>
        <family val="2"/>
        <charset val="1"/>
      </rPr>
      <t xml:space="preserve">@</t>
    </r>
  </si>
  <si>
    <t xml:space="preserve">015-004</t>
  </si>
  <si>
    <t xml:space="preserve">秦穆公修政东竟至河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</si>
  <si>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</si>
  <si>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穆公</t>
    </r>
    <r>
      <rPr>
        <sz val="11"/>
        <color theme="1"/>
        <rFont val="Calibri"/>
        <family val="2"/>
        <charset val="1"/>
      </rPr>
      <t xml:space="preserve">@</t>
    </r>
  </si>
  <si>
    <t xml:space="preserve">015-005</t>
  </si>
  <si>
    <t xml:space="preserve">田常杀简公相齐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</si>
  <si>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田常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简公</t>
    </r>
    <r>
      <rPr>
        <sz val="11"/>
        <color theme="1"/>
        <rFont val="Calibri"/>
        <family val="2"/>
        <charset val="1"/>
      </rPr>
      <t xml:space="preserve">$</t>
    </r>
  </si>
  <si>
    <t xml:space="preserve">015-006</t>
  </si>
  <si>
    <t xml:space="preserve">三国分晋田和灭齐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</si>
  <si>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</si>
  <si>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田和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</si>
  <si>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</si>
  <si>
    <t xml:space="preserve">015-007</t>
  </si>
  <si>
    <t xml:space="preserve">秦烧天下诗书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</si>
  <si>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213</t>
    </r>
    <r>
      <rPr>
        <sz val="11"/>
        <color theme="1"/>
        <rFont val="思源黑体"/>
        <family val="2"/>
      </rPr>
      <t xml:space="preserve">年）</t>
    </r>
  </si>
  <si>
    <t xml:space="preserve">015-008</t>
  </si>
  <si>
    <t xml:space="preserve">赵襄子诱杀代王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</si>
  <si>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457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</si>
  <si>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赵襄子</t>
    </r>
    <r>
      <rPr>
        <sz val="11"/>
        <color theme="1"/>
        <rFont val="Calibri"/>
        <family val="2"/>
        <charset val="1"/>
      </rPr>
      <t xml:space="preserve">@</t>
    </r>
  </si>
  <si>
    <t xml:space="preserve">015-009</t>
  </si>
  <si>
    <t xml:space="preserve">三家败智伯于晋阳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</si>
  <si>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453%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453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</si>
  <si>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韩</t>
    </r>
    <r>
      <rPr>
        <sz val="11"/>
        <color theme="1"/>
        <rFont val="Calibri"/>
        <family val="2"/>
        <charset val="1"/>
      </rPr>
      <t xml:space="preserve">&amp;</t>
    </r>
  </si>
  <si>
    <t xml:space="preserve">015-010</t>
  </si>
  <si>
    <t xml:space="preserve">魏韩赵始列为诸侯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</si>
  <si>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403%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</si>
  <si>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韩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</si>
  <si>
    <t xml:space="preserve">015-011</t>
  </si>
  <si>
    <t xml:space="preserve">商鞅变法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</si>
  <si>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秦孝公十二年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</si>
  <si>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商鞅</t>
    </r>
    <r>
      <rPr>
        <sz val="11"/>
        <color theme="1"/>
        <rFont val="Calibri"/>
        <family val="2"/>
        <charset val="1"/>
      </rPr>
      <t xml:space="preserve">@</t>
    </r>
  </si>
  <si>
    <t xml:space="preserve">015-012</t>
  </si>
  <si>
    <t xml:space="preserve">齐魏相王于徐州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</si>
  <si>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334%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</si>
  <si>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</si>
  <si>
    <t xml:space="preserve">015-013</t>
  </si>
  <si>
    <t xml:space="preserve">五国攻秦不胜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</si>
  <si>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318%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318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</si>
  <si>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韩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</si>
  <si>
    <t xml:space="preserve">015-014</t>
  </si>
  <si>
    <t xml:space="preserve">秦击蜀灭之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</si>
  <si>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316%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思源黑体"/>
        <family val="2"/>
      </rPr>
      <t xml:space="preserve">年）</t>
    </r>
  </si>
  <si>
    <t xml:space="preserve">015-015</t>
  </si>
  <si>
    <t xml:space="preserve">秦初置丞相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</si>
  <si>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秦武王二年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309</t>
    </r>
    <r>
      <rPr>
        <sz val="11"/>
        <color theme="1"/>
        <rFont val="思源黑体"/>
        <family val="2"/>
      </rPr>
      <t xml:space="preserve">年）</t>
    </r>
  </si>
  <si>
    <t xml:space="preserve">015-016</t>
  </si>
  <si>
    <t xml:space="preserve">赵武灵王初胡服</t>
  </si>
  <si>
    <t xml:space="preserve">改革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</si>
  <si>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赵武灵王十九年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</si>
  <si>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赵武灵王</t>
    </r>
    <r>
      <rPr>
        <sz val="11"/>
        <color theme="1"/>
        <rFont val="Calibri"/>
        <family val="2"/>
        <charset val="1"/>
      </rPr>
      <t xml:space="preserve">@</t>
    </r>
  </si>
  <si>
    <t xml:space="preserve">015-017</t>
  </si>
  <si>
    <t xml:space="preserve">白起击伊阙斩首二十四万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</si>
  <si>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293%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293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</si>
  <si>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白起</t>
    </r>
    <r>
      <rPr>
        <sz val="11"/>
        <color theme="1"/>
        <rFont val="Calibri"/>
        <family val="2"/>
        <charset val="1"/>
      </rPr>
      <t xml:space="preserve">@</t>
    </r>
  </si>
  <si>
    <t xml:space="preserve">015-018</t>
  </si>
  <si>
    <t xml:space="preserve">五国共击齐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</si>
  <si>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284%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284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</si>
  <si>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韩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</si>
  <si>
    <t xml:space="preserve">015-019</t>
  </si>
  <si>
    <t xml:space="preserve">白起拔郢为南郡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</si>
  <si>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278%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278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</si>
  <si>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</si>
  <si>
    <t xml:space="preserve">015-020</t>
  </si>
  <si>
    <t xml:space="preserve">长平之战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</si>
  <si>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260%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</si>
  <si>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白起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赵括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</si>
  <si>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</si>
  <si>
    <t xml:space="preserve">015-021</t>
  </si>
  <si>
    <t xml:space="preserve">信陵君救邯郸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</si>
  <si>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257%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257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</si>
  <si>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公子无忌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</si>
  <si>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</si>
  <si>
    <t xml:space="preserve">015-022</t>
  </si>
  <si>
    <t xml:space="preserve">秦灭韩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</si>
  <si>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230%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</si>
  <si>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韩</t>
    </r>
    <r>
      <rPr>
        <sz val="11"/>
        <color theme="1"/>
        <rFont val="Calibri"/>
        <family val="2"/>
        <charset val="1"/>
      </rPr>
      <t xml:space="preserve">&amp;</t>
    </r>
  </si>
  <si>
    <t xml:space="preserve">015-023</t>
  </si>
  <si>
    <t xml:space="preserve">秦灭赵虏王迁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</si>
  <si>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228%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</si>
  <si>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王翦</t>
    </r>
    <r>
      <rPr>
        <sz val="11"/>
        <color theme="1"/>
        <rFont val="Calibri"/>
        <family val="2"/>
        <charset val="1"/>
      </rPr>
      <t xml:space="preserve">@</t>
    </r>
  </si>
  <si>
    <t xml:space="preserve">015-024</t>
  </si>
  <si>
    <t xml:space="preserve">荆轲刺秦王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</si>
  <si>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227%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</si>
  <si>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荆轲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</si>
  <si>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</si>
  <si>
    <t xml:space="preserve">015-025</t>
  </si>
  <si>
    <t xml:space="preserve">秦灭魏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</si>
  <si>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225%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</si>
  <si>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王贲</t>
    </r>
    <r>
      <rPr>
        <sz val="11"/>
        <color theme="1"/>
        <rFont val="Calibri"/>
        <family val="2"/>
        <charset val="1"/>
      </rPr>
      <t xml:space="preserve">@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</si>
  <si>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魏</t>
    </r>
    <r>
      <rPr>
        <sz val="11"/>
        <color theme="1"/>
        <rFont val="Calibri"/>
        <family val="2"/>
        <charset val="1"/>
      </rPr>
      <t xml:space="preserve">&amp;</t>
    </r>
  </si>
  <si>
    <t xml:space="preserve">015-026</t>
  </si>
  <si>
    <t xml:space="preserve">秦灭楚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</si>
  <si>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223%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</si>
  <si>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王翦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蒙武</t>
    </r>
    <r>
      <rPr>
        <sz val="11"/>
        <color theme="1"/>
        <rFont val="Calibri"/>
        <family val="2"/>
        <charset val="1"/>
      </rPr>
      <t xml:space="preserve">@</t>
    </r>
  </si>
  <si>
    <t xml:space="preserve">015-027</t>
  </si>
  <si>
    <t xml:space="preserve">秦灭燕灭赵代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</si>
  <si>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222%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</si>
  <si>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</si>
  <si>
    <t xml:space="preserve">015-028</t>
  </si>
  <si>
    <t xml:space="preserve">秦灭齐并天下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</si>
  <si>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221%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</si>
  <si>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</si>
  <si>
    <t xml:space="preserve">015-029</t>
  </si>
  <si>
    <t xml:space="preserve">秦始皇统一制度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</si>
  <si>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二十七年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思源黑体"/>
        <family val="2"/>
      </rPr>
      <t xml:space="preserve">年）</t>
    </r>
  </si>
  <si>
    <t xml:space="preserve">015-030</t>
  </si>
  <si>
    <t xml:space="preserve">蒙恬将三十万筑长城</t>
  </si>
  <si>
    <t xml:space="preserve">建设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</si>
  <si>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三十三年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214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</si>
  <si>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蒙恬</t>
    </r>
    <r>
      <rPr>
        <sz val="11"/>
        <color theme="1"/>
        <rFont val="Calibri"/>
        <family val="2"/>
        <charset val="1"/>
      </rPr>
      <t xml:space="preserve">@</t>
    </r>
  </si>
  <si>
    <t xml:space="preserve">015-031</t>
  </si>
  <si>
    <t xml:space="preserve">始皇崩于沙丘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</si>
  <si>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三十七年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210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</si>
  <si>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胡亥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蒙恬</t>
    </r>
    <r>
      <rPr>
        <sz val="11"/>
        <color theme="1"/>
        <rFont val="Calibri"/>
        <family val="2"/>
        <charset val="1"/>
      </rPr>
      <t xml:space="preserve">@</t>
    </r>
  </si>
  <si>
    <t xml:space="preserve">015-032</t>
  </si>
  <si>
    <t xml:space="preserve">郡县皆反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</si>
  <si>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年）</t>
    </r>
  </si>
  <si>
    <t xml:space="preserve">015-033</t>
  </si>
  <si>
    <t xml:space="preserve">赵高反二世自杀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</si>
  <si>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</si>
  <si>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赵高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</si>
  <si>
    <t xml:space="preserve">016</t>
  </si>
  <si>
    <t xml:space="preserve">秦楚之际月表</t>
  </si>
  <si>
    <t xml:space="preserve">016-001</t>
  </si>
  <si>
    <t xml:space="preserve">陈涉起兵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</si>
  <si>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二世元年七月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</si>
  <si>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陈涉</t>
    </r>
    <r>
      <rPr>
        <sz val="11"/>
        <color theme="1"/>
        <rFont val="Calibri"/>
        <family val="2"/>
        <charset val="1"/>
      </rPr>
      <t xml:space="preserve">@</t>
    </r>
  </si>
  <si>
    <t xml:space="preserve">016-002</t>
  </si>
  <si>
    <t xml:space="preserve">项梁号武信君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</si>
  <si>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二世元年九月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</si>
  <si>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项梁</t>
    </r>
    <r>
      <rPr>
        <sz val="11"/>
        <color theme="1"/>
        <rFont val="Calibri"/>
        <family val="2"/>
        <charset val="1"/>
      </rPr>
      <t xml:space="preserve">@</t>
    </r>
  </si>
  <si>
    <t xml:space="preserve">016-003</t>
  </si>
  <si>
    <t xml:space="preserve">沛公初起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</si>
  <si>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沛公</t>
    </r>
    <r>
      <rPr>
        <sz val="11"/>
        <color theme="1"/>
        <rFont val="Calibri"/>
        <family val="2"/>
        <charset val="1"/>
      </rPr>
      <t xml:space="preserve">@</t>
    </r>
  </si>
  <si>
    <t xml:space="preserve">016-004</t>
  </si>
  <si>
    <t xml:space="preserve">武臣自立为赵王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</si>
  <si>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二世元年八月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</si>
  <si>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武臣</t>
    </r>
    <r>
      <rPr>
        <sz val="11"/>
        <color theme="1"/>
        <rFont val="Calibri"/>
        <family val="2"/>
        <charset val="1"/>
      </rPr>
      <t xml:space="preserve">@</t>
    </r>
  </si>
  <si>
    <t xml:space="preserve">016-005</t>
  </si>
  <si>
    <t xml:space="preserve">陈涉死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</si>
  <si>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二世元年十二月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年）</t>
    </r>
  </si>
  <si>
    <t xml:space="preserve">016-006</t>
  </si>
  <si>
    <t xml:space="preserve">项梁立楚怀王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</si>
  <si>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二世二年六月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年）</t>
    </r>
  </si>
  <si>
    <t xml:space="preserve">016-007</t>
  </si>
  <si>
    <t xml:space="preserve">项梁败死于定陶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</si>
  <si>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二世二年九月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年）</t>
    </r>
  </si>
  <si>
    <t xml:space="preserve">016-008</t>
  </si>
  <si>
    <t xml:space="preserve">项羽矫杀宋义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</si>
  <si>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二世三年十一月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</si>
  <si>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</si>
  <si>
    <t xml:space="preserve">016-009</t>
  </si>
  <si>
    <t xml:space="preserve">项羽大破秦军巨鹿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</si>
  <si>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二世三年十二月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年）</t>
    </r>
  </si>
  <si>
    <t xml:space="preserve">016-010</t>
  </si>
  <si>
    <t xml:space="preserve">沛公入破咸阳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</si>
  <si>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汉元年十月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年）</t>
    </r>
  </si>
  <si>
    <t xml:space="preserve">016-011</t>
  </si>
  <si>
    <t xml:space="preserve">项羽坑秦降卒二十万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</si>
  <si>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汉元年十一月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年）</t>
    </r>
  </si>
  <si>
    <t xml:space="preserve">016-012</t>
  </si>
  <si>
    <t xml:space="preserve">项羽分天下立诸侯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</si>
  <si>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汉元年十二月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年）</t>
    </r>
  </si>
  <si>
    <t xml:space="preserve">016-013</t>
  </si>
  <si>
    <t xml:space="preserve">项羽灭义帝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</si>
  <si>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汉二年十月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年）</t>
    </r>
  </si>
  <si>
    <t xml:space="preserve">016-014</t>
  </si>
  <si>
    <t xml:space="preserve">汉王伐楚至彭城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</si>
  <si>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汉二年四月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</si>
  <si>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汉王</t>
    </r>
    <r>
      <rPr>
        <sz val="11"/>
        <color theme="1"/>
        <rFont val="Calibri"/>
        <family val="2"/>
        <charset val="1"/>
      </rPr>
      <t xml:space="preserve">@</t>
    </r>
  </si>
  <si>
    <t xml:space="preserve">016-015</t>
  </si>
  <si>
    <t xml:space="preserve">项羽三万破汉五十六万</t>
  </si>
  <si>
    <t xml:space="preserve">016-016</t>
  </si>
  <si>
    <t xml:space="preserve">韩信斩陈余灭赵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</si>
  <si>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</si>
  <si>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</si>
  <si>
    <t xml:space="preserve">016-017</t>
  </si>
  <si>
    <t xml:space="preserve">韩信破杀龙且定齐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</si>
  <si>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汉四年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203</t>
    </r>
    <r>
      <rPr>
        <sz val="11"/>
        <color theme="1"/>
        <rFont val="思源黑体"/>
        <family val="2"/>
      </rPr>
      <t xml:space="preserve">年）</t>
    </r>
  </si>
  <si>
    <t xml:space="preserve">016-018</t>
  </si>
  <si>
    <t xml:space="preserve">杀项籍天下平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</si>
  <si>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汉五年十二月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</t>
    </r>
  </si>
  <si>
    <t xml:space="preserve">016-019</t>
  </si>
  <si>
    <t xml:space="preserve">汉王即皇帝位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</si>
  <si>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汉五年二月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</t>
    </r>
  </si>
  <si>
    <t xml:space="preserve">017</t>
  </si>
  <si>
    <t xml:space="preserve">汉兴以来诸侯王年表</t>
  </si>
  <si>
    <t xml:space="preserve">017-001</t>
  </si>
  <si>
    <t xml:space="preserve">周封五等诸侯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</si>
  <si>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伯禽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康叔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太公</t>
    </r>
    <r>
      <rPr>
        <sz val="11"/>
        <color theme="1"/>
        <rFont val="Calibri"/>
        <family val="2"/>
        <charset val="1"/>
      </rPr>
      <t xml:space="preserve">@</t>
    </r>
  </si>
  <si>
    <t xml:space="preserve">017-002</t>
  </si>
  <si>
    <t xml:space="preserve">汉高祖立同姓九王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</si>
  <si>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高祖六年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</si>
  <si>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</si>
  <si>
    <t xml:space="preserve">017-003</t>
  </si>
  <si>
    <t xml:space="preserve">白马之盟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</si>
  <si>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高祖十二年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年）</t>
    </r>
  </si>
  <si>
    <t xml:space="preserve">017-004</t>
  </si>
  <si>
    <t xml:space="preserve">诸侯骄奢叛逆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</si>
  <si>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</si>
  <si>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017-005</t>
  </si>
  <si>
    <t xml:space="preserve">推恩令分封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</si>
  <si>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元朔二年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年）</t>
    </r>
  </si>
  <si>
    <t xml:space="preserve">017-006</t>
  </si>
  <si>
    <t xml:space="preserve">吴楚七国之乱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</si>
  <si>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景帝三年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年）</t>
    </r>
  </si>
  <si>
    <t xml:space="preserve">017-007</t>
  </si>
  <si>
    <t xml:space="preserve">英布反被诛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</si>
  <si>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高祖十一年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</si>
  <si>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英布</t>
    </r>
    <r>
      <rPr>
        <sz val="11"/>
        <color theme="1"/>
        <rFont val="Calibri"/>
        <family val="2"/>
        <charset val="1"/>
      </rPr>
      <t xml:space="preserve">@</t>
    </r>
  </si>
  <si>
    <t xml:space="preserve">017-008</t>
  </si>
  <si>
    <t xml:space="preserve">彭越反被诛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</si>
  <si>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彭越</t>
    </r>
    <r>
      <rPr>
        <sz val="11"/>
        <color theme="1"/>
        <rFont val="Calibri"/>
        <family val="2"/>
        <charset val="1"/>
      </rPr>
      <t xml:space="preserve">@</t>
    </r>
  </si>
  <si>
    <t xml:space="preserve">017-009</t>
  </si>
  <si>
    <t xml:space="preserve">诛诸吕立文帝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</si>
  <si>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高后八年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年）</t>
    </r>
  </si>
  <si>
    <t xml:space="preserve">017-010</t>
  </si>
  <si>
    <t xml:space="preserve">淮南厉王无道迁蜀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</si>
  <si>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文帝六年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174</t>
    </r>
    <r>
      <rPr>
        <sz val="11"/>
        <color theme="1"/>
        <rFont val="思源黑体"/>
        <family val="2"/>
      </rPr>
      <t xml:space="preserve">年）</t>
    </r>
  </si>
  <si>
    <t xml:space="preserve">017-011</t>
  </si>
  <si>
    <t xml:space="preserve">吴王濞反诛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</si>
  <si>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刘濞</t>
    </r>
    <r>
      <rPr>
        <sz val="11"/>
        <color theme="1"/>
        <rFont val="Calibri"/>
        <family val="2"/>
        <charset val="1"/>
      </rPr>
      <t xml:space="preserve">@</t>
    </r>
  </si>
  <si>
    <t xml:space="preserve">018</t>
  </si>
  <si>
    <t xml:space="preserve">高祖功臣侯者年表</t>
  </si>
  <si>
    <t xml:space="preserve">018-001</t>
  </si>
  <si>
    <t xml:space="preserve">封爵之誓河山之盟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</si>
  <si>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年）</t>
    </r>
  </si>
  <si>
    <t xml:space="preserve">018-002</t>
  </si>
  <si>
    <t xml:space="preserve">汉兴功臣受封百余人</t>
  </si>
  <si>
    <t xml:space="preserve">018-003</t>
  </si>
  <si>
    <t xml:space="preserve">萧曹绛灌富厚</t>
  </si>
  <si>
    <t xml:space="preserve">经济活动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</si>
  <si>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</si>
  <si>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萧何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曹参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周勃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灌婴</t>
    </r>
    <r>
      <rPr>
        <sz val="11"/>
        <color theme="1"/>
        <rFont val="Calibri"/>
        <family val="2"/>
        <charset val="1"/>
      </rPr>
      <t xml:space="preserve">@</t>
    </r>
  </si>
  <si>
    <t xml:space="preserve">018-004</t>
  </si>
  <si>
    <t xml:space="preserve">太初百年见侯五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</si>
  <si>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太初元年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年）</t>
    </r>
  </si>
  <si>
    <t xml:space="preserve">018-005</t>
  </si>
  <si>
    <t xml:space="preserve">韩信谋反被诛</t>
  </si>
  <si>
    <t xml:space="preserve">018-006</t>
  </si>
  <si>
    <t xml:space="preserve">陈豨反叛自立为王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</si>
  <si>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高祖十年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</si>
  <si>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陈豨</t>
    </r>
    <r>
      <rPr>
        <sz val="11"/>
        <color theme="1"/>
        <rFont val="Calibri"/>
        <family val="2"/>
        <charset val="1"/>
      </rPr>
      <t xml:space="preserve">@</t>
    </r>
  </si>
  <si>
    <t xml:space="preserve">018-007</t>
  </si>
  <si>
    <t xml:space="preserve">张良封留侯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</si>
  <si>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张良</t>
    </r>
    <r>
      <rPr>
        <sz val="11"/>
        <color theme="1"/>
        <rFont val="Calibri"/>
        <family val="2"/>
        <charset val="1"/>
      </rPr>
      <t xml:space="preserve">@</t>
    </r>
  </si>
  <si>
    <t xml:space="preserve">018-008</t>
  </si>
  <si>
    <t xml:space="preserve">萧何封酂侯为相国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</si>
  <si>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高祖六年至九年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年封侯，前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思源黑体"/>
        <family val="2"/>
      </rPr>
      <t xml:space="preserve">年为相国）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</si>
  <si>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萧何</t>
    </r>
    <r>
      <rPr>
        <sz val="11"/>
        <color theme="1"/>
        <rFont val="Calibri"/>
        <family val="2"/>
        <charset val="1"/>
      </rPr>
      <t xml:space="preserve">@</t>
    </r>
  </si>
  <si>
    <t xml:space="preserve">018-009</t>
  </si>
  <si>
    <t xml:space="preserve">曹参为相国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</si>
  <si>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惠帝二年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</si>
  <si>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曹参</t>
    </r>
    <r>
      <rPr>
        <sz val="11"/>
        <color theme="1"/>
        <rFont val="Calibri"/>
        <family val="2"/>
        <charset val="1"/>
      </rPr>
      <t xml:space="preserve">@</t>
    </r>
  </si>
  <si>
    <t xml:space="preserve">018-010</t>
  </si>
  <si>
    <t xml:space="preserve">周勃为太尉诛诸吕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</si>
  <si>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惠帝六年至高后八年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189</t>
    </r>
    <r>
      <rPr>
        <sz val="11"/>
        <color theme="1"/>
        <rFont val="思源黑体"/>
        <family val="2"/>
      </rPr>
      <t xml:space="preserve">年为太尉，前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年诛诸吕）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</si>
  <si>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周勃</t>
    </r>
    <r>
      <rPr>
        <sz val="11"/>
        <color theme="1"/>
        <rFont val="Calibri"/>
        <family val="2"/>
        <charset val="1"/>
      </rPr>
      <t xml:space="preserve">@</t>
    </r>
  </si>
  <si>
    <t xml:space="preserve">018-011</t>
  </si>
  <si>
    <t xml:space="preserve">陈平专相孝文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</si>
  <si>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179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</si>
  <si>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陈平</t>
    </r>
    <r>
      <rPr>
        <sz val="11"/>
        <color theme="1"/>
        <rFont val="Calibri"/>
        <family val="2"/>
        <charset val="1"/>
      </rPr>
      <t xml:space="preserve">@</t>
    </r>
  </si>
  <si>
    <t xml:space="preserve">019</t>
  </si>
  <si>
    <t xml:space="preserve">惠景间侯者年表</t>
  </si>
  <si>
    <t xml:space="preserve">019-001</t>
  </si>
  <si>
    <t xml:space="preserve">长沙王全禅五世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</si>
  <si>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</si>
  <si>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长沙</t>
    </r>
    <r>
      <rPr>
        <sz val="11"/>
        <color theme="1"/>
        <rFont val="Calibri"/>
        <family val="2"/>
        <charset val="1"/>
      </rPr>
      <t xml:space="preserve">&amp;</t>
    </r>
  </si>
  <si>
    <t xml:space="preserve">019-002</t>
  </si>
  <si>
    <t xml:space="preserve">高祖定天下八国异姓王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</si>
  <si>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</t>
    </r>
  </si>
  <si>
    <t xml:space="preserve">019-003</t>
  </si>
  <si>
    <t xml:space="preserve">惠景间追修遗功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</si>
  <si>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五十载</t>
    </r>
    <r>
      <rPr>
        <sz val="11"/>
        <color theme="1"/>
        <rFont val="Calibri"/>
        <family val="2"/>
        <charset val="1"/>
      </rPr>
      <t xml:space="preserve">% 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</si>
  <si>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019-004</t>
  </si>
  <si>
    <t xml:space="preserve">吕氏封侯擅权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</si>
  <si>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高后时</t>
    </r>
    <r>
      <rPr>
        <sz val="11"/>
        <color theme="1"/>
        <rFont val="Calibri"/>
        <family val="2"/>
        <charset val="1"/>
      </rPr>
      <t xml:space="preserve">% 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</si>
  <si>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吕产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吕禄</t>
    </r>
    <r>
      <rPr>
        <sz val="11"/>
        <color theme="1"/>
        <rFont val="Calibri"/>
        <family val="2"/>
        <charset val="1"/>
      </rPr>
      <t xml:space="preserve">@</t>
    </r>
  </si>
  <si>
    <t xml:space="preserve">019-005</t>
  </si>
  <si>
    <t xml:space="preserve">诛吕氏立文帝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</si>
  <si>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刘揭</t>
    </r>
    <r>
      <rPr>
        <sz val="11"/>
        <color theme="1"/>
        <rFont val="Calibri"/>
        <family val="2"/>
        <charset val="1"/>
      </rPr>
      <t xml:space="preserve">@</t>
    </r>
  </si>
  <si>
    <t xml:space="preserve">019-006</t>
  </si>
  <si>
    <t xml:space="preserve">宋昌迎代王入京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</si>
  <si>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宋昌</t>
    </r>
    <r>
      <rPr>
        <sz val="11"/>
        <color theme="1"/>
        <rFont val="Calibri"/>
        <family val="2"/>
        <charset val="1"/>
      </rPr>
      <t xml:space="preserve">@</t>
    </r>
  </si>
  <si>
    <t xml:space="preserve">019-007</t>
  </si>
  <si>
    <t xml:space="preserve">吴楚七国之乱功臣封侯</t>
  </si>
  <si>
    <t xml:space="preserve">019-008</t>
  </si>
  <si>
    <t xml:space="preserve">建长乐未央宫筑长安城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</si>
  <si>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</si>
  <si>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阳成延</t>
    </r>
    <r>
      <rPr>
        <sz val="11"/>
        <color theme="1"/>
        <rFont val="Calibri"/>
        <family val="2"/>
        <charset val="1"/>
      </rPr>
      <t xml:space="preserve">@</t>
    </r>
  </si>
  <si>
    <t xml:space="preserve">020</t>
  </si>
  <si>
    <t xml:space="preserve">建元以来侯者年表</t>
  </si>
  <si>
    <t xml:space="preserve">020-001</t>
  </si>
  <si>
    <t xml:space="preserve">匈奴绝和亲攻当路塞</t>
  </si>
  <si>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思源黑体"/>
        <family val="2"/>
      </rPr>
      <t xml:space="preserve">年）</t>
    </r>
  </si>
  <si>
    <t xml:space="preserve">020-002</t>
  </si>
  <si>
    <t xml:space="preserve">闽越擅伐东瓯请降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</si>
  <si>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建元三年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思源黑体"/>
        <family val="2"/>
      </rPr>
      <t xml:space="preserve">年）</t>
    </r>
  </si>
  <si>
    <t xml:space="preserve">020-003</t>
  </si>
  <si>
    <t xml:space="preserve">卫青击匈奴封长平侯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</si>
  <si>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卫青</t>
    </r>
    <r>
      <rPr>
        <sz val="11"/>
        <color theme="1"/>
        <rFont val="Calibri"/>
        <family val="2"/>
        <charset val="1"/>
      </rPr>
      <t xml:space="preserve">@</t>
    </r>
  </si>
  <si>
    <t xml:space="preserve">020-004</t>
  </si>
  <si>
    <t xml:space="preserve">霍去病封冠军侯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</si>
  <si>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元朔六年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123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</si>
  <si>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霍去病</t>
    </r>
    <r>
      <rPr>
        <sz val="11"/>
        <color theme="1"/>
        <rFont val="Calibri"/>
        <family val="2"/>
        <charset val="1"/>
      </rPr>
      <t xml:space="preserve">@</t>
    </r>
  </si>
  <si>
    <t xml:space="preserve">020-005</t>
  </si>
  <si>
    <t xml:space="preserve">公孙弘以丞相封平津侯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</si>
  <si>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元朔五年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</si>
  <si>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公孙弘</t>
    </r>
    <r>
      <rPr>
        <sz val="11"/>
        <color theme="1"/>
        <rFont val="Calibri"/>
        <family val="2"/>
        <charset val="1"/>
      </rPr>
      <t xml:space="preserve">@</t>
    </r>
  </si>
  <si>
    <t xml:space="preserve">020-006</t>
  </si>
  <si>
    <t xml:space="preserve">张骞通西域封博望侯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</si>
  <si>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张骞</t>
    </r>
    <r>
      <rPr>
        <sz val="11"/>
        <color theme="1"/>
        <rFont val="Calibri"/>
        <family val="2"/>
        <charset val="1"/>
      </rPr>
      <t xml:space="preserve">@</t>
    </r>
  </si>
  <si>
    <t xml:space="preserve">020-007</t>
  </si>
  <si>
    <t xml:space="preserve">浑邪王率众十万降汉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</si>
  <si>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元狩二年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</si>
  <si>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浑邪</t>
    </r>
    <r>
      <rPr>
        <sz val="11"/>
        <color theme="1"/>
        <rFont val="Calibri"/>
        <family val="2"/>
        <charset val="1"/>
      </rPr>
      <t xml:space="preserve">@</t>
    </r>
  </si>
  <si>
    <t xml:space="preserve">020-008</t>
  </si>
  <si>
    <t xml:space="preserve">匈奴归义者封侯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</si>
  <si>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</si>
  <si>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020-009</t>
  </si>
  <si>
    <t xml:space="preserve">卫青大破右贤王</t>
  </si>
  <si>
    <t xml:space="preserve">020-010</t>
  </si>
  <si>
    <t xml:space="preserve">霍去病击左右贤王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</si>
  <si>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元狩二年至四年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思源黑体"/>
        <family val="2"/>
      </rPr>
      <t xml:space="preserve">年）</t>
    </r>
  </si>
  <si>
    <t xml:space="preserve">021</t>
  </si>
  <si>
    <t xml:space="preserve">建元已来王子侯者年表</t>
  </si>
  <si>
    <t xml:space="preserve">021-001</t>
  </si>
  <si>
    <t xml:space="preserve">推恩令诏书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</si>
  <si>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主父偃</t>
    </r>
    <r>
      <rPr>
        <sz val="11"/>
        <color theme="1"/>
        <rFont val="Calibri"/>
        <family val="2"/>
        <charset val="1"/>
      </rPr>
      <t xml:space="preserve">@</t>
    </r>
  </si>
  <si>
    <t xml:space="preserve">021-002</t>
  </si>
  <si>
    <t xml:space="preserve">王子侯大规模分封</t>
  </si>
  <si>
    <t xml:space="preserve">021-003</t>
  </si>
  <si>
    <t xml:space="preserve">酎金坐罪大量国除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</si>
  <si>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元鼎五年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112</t>
    </r>
    <r>
      <rPr>
        <sz val="11"/>
        <color theme="1"/>
        <rFont val="思源黑体"/>
        <family val="2"/>
      </rPr>
      <t xml:space="preserve">年）</t>
    </r>
  </si>
  <si>
    <t xml:space="preserve">022</t>
  </si>
  <si>
    <t xml:space="preserve">汉兴以来将相名臣年表</t>
  </si>
  <si>
    <t xml:space="preserve">022-001</t>
  </si>
  <si>
    <t xml:space="preserve">萧何守汉中为丞相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</si>
  <si>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年）</t>
    </r>
  </si>
  <si>
    <t xml:space="preserve">022-002</t>
  </si>
  <si>
    <t xml:space="preserve">汉王破楚垓下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</si>
  <si>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高祖五年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</si>
  <si>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项籍</t>
    </r>
    <r>
      <rPr>
        <sz val="11"/>
        <color theme="1"/>
        <rFont val="Calibri"/>
        <family val="2"/>
        <charset val="1"/>
      </rPr>
      <t xml:space="preserve">@</t>
    </r>
  </si>
  <si>
    <t xml:space="preserve">022-003</t>
  </si>
  <si>
    <t xml:space="preserve">汉王践皇帝位</t>
  </si>
  <si>
    <t xml:space="preserve">022-004</t>
  </si>
  <si>
    <t xml:space="preserve">更命咸阳为长安</t>
  </si>
  <si>
    <t xml:space="preserve">022-005</t>
  </si>
  <si>
    <t xml:space="preserve">匈奴围平城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</si>
  <si>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高祖七年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思源黑体"/>
        <family val="2"/>
      </rPr>
      <t xml:space="preserve">年）</t>
    </r>
  </si>
  <si>
    <t xml:space="preserve">022-006</t>
  </si>
  <si>
    <t xml:space="preserve">未央宫成太上皇殿上寿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</si>
  <si>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高祖九年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思源黑体"/>
        <family val="2"/>
      </rPr>
      <t xml:space="preserve">年）</t>
    </r>
  </si>
  <si>
    <t xml:space="preserve">022-007</t>
  </si>
  <si>
    <t xml:space="preserve">陈豨反代地</t>
  </si>
  <si>
    <t xml:space="preserve">022-008</t>
  </si>
  <si>
    <t xml:space="preserve">诛淮阴彭越黥布反</t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</si>
  <si>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彭越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英布</t>
    </r>
    <r>
      <rPr>
        <sz val="11"/>
        <color theme="1"/>
        <rFont val="Calibri"/>
        <family val="2"/>
        <charset val="1"/>
      </rPr>
      <t xml:space="preserve">@</t>
    </r>
  </si>
  <si>
    <t xml:space="preserve">022-009</t>
  </si>
  <si>
    <t xml:space="preserve">高祖崩葬长陵</t>
  </si>
  <si>
    <t xml:space="preserve">022-010</t>
  </si>
  <si>
    <t xml:space="preserve">022-011</t>
  </si>
  <si>
    <t xml:space="preserve">吕后擅权大臣共诛之</t>
  </si>
  <si>
    <t xml:space="preserve">022-012</t>
  </si>
  <si>
    <t xml:space="preserve">文帝即位除诽谤律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</si>
  <si>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文帝二年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178</t>
    </r>
    <r>
      <rPr>
        <sz val="11"/>
        <color theme="1"/>
        <rFont val="思源黑体"/>
        <family val="2"/>
      </rPr>
      <t xml:space="preserve">年）</t>
    </r>
  </si>
  <si>
    <t xml:space="preserve">022-013</t>
  </si>
  <si>
    <t xml:space="preserve">济北王反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</si>
  <si>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177</t>
    </r>
    <r>
      <rPr>
        <sz val="11"/>
        <color theme="1"/>
        <rFont val="思源黑体"/>
        <family val="2"/>
      </rPr>
      <t xml:space="preserve">年）</t>
    </r>
  </si>
  <si>
    <t xml:space="preserve">022-014</t>
  </si>
  <si>
    <t xml:space="preserve">匈奴大入萧关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</si>
  <si>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文帝十四年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166</t>
    </r>
    <r>
      <rPr>
        <sz val="11"/>
        <color theme="1"/>
        <rFont val="思源黑体"/>
        <family val="2"/>
      </rPr>
      <t xml:space="preserve">年）</t>
    </r>
  </si>
  <si>
    <t xml:space="preserve">022-015</t>
  </si>
  <si>
    <t xml:space="preserve">文帝除肉刑田租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</si>
  <si>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文帝十三年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思源黑体"/>
        <family val="2"/>
      </rPr>
      <t xml:space="preserve">年）</t>
    </r>
  </si>
  <si>
    <t xml:space="preserve">022-016</t>
  </si>
  <si>
    <t xml:space="preserve">周亚夫军细柳</t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</si>
  <si>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文帝后六年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</si>
  <si>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周亚夫</t>
    </r>
    <r>
      <rPr>
        <sz val="11"/>
        <color theme="1"/>
        <rFont val="Calibri"/>
        <family val="2"/>
        <charset val="1"/>
      </rPr>
      <t xml:space="preserve">@</t>
    </r>
  </si>
  <si>
    <t xml:space="preserve">事件描述</t>
  </si>
  <si>
    <t xml:space="preserve">原文引用</t>
  </si>
  <si>
    <t xml:space="preserve">段落位置</t>
  </si>
  <si>
    <t xml:space="preserve">年代推断</t>
  </si>
  <si>
    <t xml:space="preserve">孔子因旧史文献编次《春秋》，纪元年，正时日月，详尽精审。这是中国编年史学的重要开端。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</si>
  <si>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孔子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因史文次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，纪元年，正时日月，盖其详哉。</t>
    </r>
    <r>
      <rPr>
        <sz val="11"/>
        <color theme="1"/>
        <rFont val="Calibri"/>
        <family val="2"/>
        <charset val="1"/>
      </rPr>
      <t xml:space="preserve">"</t>
    </r>
  </si>
  <si>
    <t xml:space="preserve">[1.3]</t>
  </si>
  <si>
    <r>
      <rPr>
        <sz val="11"/>
        <color theme="1"/>
        <rFont val="思源黑体"/>
        <family val="2"/>
      </rPr>
      <t xml:space="preserve">确定性升级：年表前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春，西狩获麟。孔丘修订《春秋》，传绝笔于本年春西狩获麟句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，年表有明确记载应从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推断标注升级为（）精确标注</t>
    </r>
  </si>
  <si>
    <t xml:space="preserve">太史公读谍记，自黄帝以来皆有年数，但稽考历谱谍终始五德之传，古文咸不同而乖异。于是以五帝系谍、《尚书》集世纪黄帝以来至共和为世表。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</si>
  <si>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於是以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五帝系谍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尚书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集世纪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黄帝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以来讫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共和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为世表。</t>
    </r>
    <r>
      <rPr>
        <sz val="11"/>
        <color theme="1"/>
        <rFont val="Calibri"/>
        <family val="2"/>
        <charset val="1"/>
      </rPr>
      <t xml:space="preserve">"</t>
    </r>
  </si>
  <si>
    <t xml:space="preserve">[2.4]</t>
  </si>
  <si>
    <r>
      <rPr>
        <sz val="11"/>
        <color theme="1"/>
        <rFont val="思源黑体"/>
        <family val="2"/>
      </rPr>
      <t xml:space="preserve">太史公编五帝世表是司马迁写作《史记》的具体活动。太初元年（前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年）始作太史公书，年表前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年条有明确记载。此为写作时间的确定推算，应从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升级为确定推算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。另外地点字段</t>
    </r>
    <r>
      <rPr>
        <sz val="11"/>
        <color theme="1"/>
        <rFont val="Calibri"/>
        <family val="2"/>
        <charset val="1"/>
      </rPr>
      <t xml:space="preserve">"=</t>
    </r>
    <r>
      <rPr>
        <sz val="11"/>
        <color theme="1"/>
        <rFont val="思源黑体"/>
        <family val="2"/>
      </rPr>
      <t xml:space="preserve">共和</t>
    </r>
    <r>
      <rPr>
        <sz val="11"/>
        <color theme="1"/>
        <rFont val="Calibri"/>
        <family val="2"/>
        <charset val="1"/>
      </rPr>
      <t xml:space="preserve">="</t>
    </r>
    <r>
      <rPr>
        <sz val="11"/>
        <color theme="1"/>
        <rFont val="思源黑体"/>
        <family val="2"/>
      </rPr>
      <t xml:space="preserve">有误，共和是年表中的纪年概念而非地点，应修正。</t>
    </r>
  </si>
  <si>
    <t xml:space="preserve">周成王时期分封诸侯，鲁国封周公旦（武王弟），齐国封太公尚（文王武王之师），晋国封唐叔虞（武王子），宋国封微子启（纣庶兄），卫国封康叔（武王弟），陈国封胡公满（舜之后），蔡国封蔡叔度（武王弟），曹国封曹叔振铎（武王弟），燕国封召公奭（周同姓）。奠定了西周分封格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</si>
  <si>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鲁周公旦，武王弟。初封。齐太公尚，文王、武王师。初封。晋唐叔虞，武王子。初封。</t>
    </r>
    <r>
      <rPr>
        <sz val="11"/>
        <color theme="1"/>
        <rFont val="Calibri"/>
        <family val="2"/>
        <charset val="1"/>
      </rPr>
      <t xml:space="preserve">"</t>
    </r>
  </si>
  <si>
    <t xml:space="preserve">表</t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</si>
  <si>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1042—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1021</t>
    </r>
    <r>
      <rPr>
        <sz val="11"/>
        <color theme="1"/>
        <rFont val="思源黑体"/>
        <family val="2"/>
      </rPr>
      <t xml:space="preserve">年条明确记载周成王即位及大举分封诸侯（鲁、齐、晋、宋、卫等），有精确记载应升级为精确标注。确定性标注不足（错误模式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思源黑体"/>
        <family val="2"/>
      </rPr>
      <t xml:space="preserve">）。</t>
    </r>
  </si>
  <si>
    <t xml:space="preserve">周昭王南巡不返，这一事件在周朝讳莫如深，不赴告丧。昭王之死标志着周王室威势的衰减。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</si>
  <si>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昭王瑕南巡不返。不赴，讳之。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</si>
  <si>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昭王在位约前</t>
    </r>
    <r>
      <rPr>
        <sz val="11"/>
        <color theme="1"/>
        <rFont val="Calibri"/>
        <family val="2"/>
        <charset val="1"/>
      </rPr>
      <t xml:space="preserve">995—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977</t>
    </r>
    <r>
      <rPr>
        <sz val="11"/>
        <color theme="1"/>
        <rFont val="思源黑体"/>
        <family val="2"/>
      </rPr>
      <t xml:space="preserve">年，南巡不返约在末年</t>
    </r>
  </si>
  <si>
    <t xml:space="preserve">周穆王制定甫刑（吕刑），是中国古代重要的刑法改革。此时荒服不至，远方诸侯已不再朝贡。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</si>
  <si>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穆王满。作甫刑。荒服不至。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</si>
  <si>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穆王在位约前</t>
    </r>
    <r>
      <rPr>
        <sz val="11"/>
        <color theme="1"/>
        <rFont val="Calibri"/>
        <family val="2"/>
        <charset val="1"/>
      </rPr>
      <t xml:space="preserve">976—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922</t>
    </r>
    <r>
      <rPr>
        <sz val="11"/>
        <color theme="1"/>
        <rFont val="思源黑体"/>
        <family val="2"/>
      </rPr>
      <t xml:space="preserve">年，作甫刑约在中期</t>
    </r>
  </si>
  <si>
    <t xml:space="preserve">周懿王时期，周朝国势衰落，诗人开始作诗讽刺时政，标志着周室权威的进一步削弱。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</si>
  <si>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懿王坚。周道衰，诗人作刺。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</si>
  <si>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年表记载懿王在位前</t>
    </r>
    <r>
      <rPr>
        <sz val="11"/>
        <color theme="1"/>
        <rFont val="Calibri"/>
        <family val="2"/>
        <charset val="1"/>
      </rPr>
      <t xml:space="preserve">899—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892</t>
    </r>
    <r>
      <rPr>
        <sz val="11"/>
        <color theme="1"/>
        <rFont val="思源黑体"/>
        <family val="2"/>
      </rPr>
      <t xml:space="preserve">年。当前标注前</t>
    </r>
    <r>
      <rPr>
        <sz val="11"/>
        <color theme="1"/>
        <rFont val="Calibri"/>
        <family val="2"/>
        <charset val="1"/>
      </rPr>
      <t xml:space="preserve">900</t>
    </r>
    <r>
      <rPr>
        <sz val="11"/>
        <color theme="1"/>
        <rFont val="思源黑体"/>
        <family val="2"/>
      </rPr>
      <t xml:space="preserve">年超出懿王在位范围（懿王元年为前</t>
    </r>
    <r>
      <rPr>
        <sz val="11"/>
        <color theme="1"/>
        <rFont val="Calibri"/>
        <family val="2"/>
        <charset val="1"/>
      </rPr>
      <t xml:space="preserve">899</t>
    </r>
    <r>
      <rPr>
        <sz val="11"/>
        <color theme="1"/>
        <rFont val="思源黑体"/>
        <family val="2"/>
      </rPr>
      <t xml:space="preserve">年）。应调整为在位中期约前</t>
    </r>
    <r>
      <rPr>
        <sz val="11"/>
        <color theme="1"/>
        <rFont val="Calibri"/>
        <family val="2"/>
        <charset val="1"/>
      </rPr>
      <t xml:space="preserve">895</t>
    </r>
    <r>
      <rPr>
        <sz val="11"/>
        <color theme="1"/>
        <rFont val="思源黑体"/>
        <family val="2"/>
      </rPr>
      <t xml:space="preserve">年，或至少应在前</t>
    </r>
    <r>
      <rPr>
        <sz val="11"/>
        <color theme="1"/>
        <rFont val="Calibri"/>
        <family val="2"/>
        <charset val="1"/>
      </rPr>
      <t xml:space="preserve">899—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892</t>
    </r>
    <r>
      <rPr>
        <sz val="11"/>
        <color theme="1"/>
        <rFont val="思源黑体"/>
        <family val="2"/>
      </rPr>
      <t xml:space="preserve">年范围内。</t>
    </r>
  </si>
  <si>
    <t xml:space="preserve">齐国孝王时期，献公弑杀胡公，是齐国早期的一次宫廷政变。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</si>
  <si>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献公弑胡公。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</si>
  <si>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032</t>
    </r>
    <r>
      <rPr>
        <sz val="11"/>
        <color theme="1"/>
        <rFont val="思源黑体"/>
        <family val="2"/>
      </rPr>
      <t xml:space="preserve">齐太公世家精确标注献公元年前</t>
    </r>
    <r>
      <rPr>
        <sz val="11"/>
        <color theme="1"/>
        <rFont val="Calibri"/>
        <family val="2"/>
        <charset val="1"/>
      </rPr>
      <t xml:space="preserve">859</t>
    </r>
    <r>
      <rPr>
        <sz val="11"/>
        <color theme="1"/>
        <rFont val="思源黑体"/>
        <family val="2"/>
      </rPr>
      <t xml:space="preserve">年</t>
    </r>
  </si>
  <si>
    <t xml:space="preserve">周厉王因恶闻过错而引发暴乱，被迫出奔，最终死于彘地。这一事件导致了共和行政的出现。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</si>
  <si>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厉王胡。以恶闻过乱，出奔，遂死于彘。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</si>
  <si>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年条记载厉王奔彘、共和行政</t>
    </r>
  </si>
  <si>
    <t xml:space="preserve">周厉王出奔后，由二伯（周公、召公）共同执政，称为共和行政。这是中国历史上确切纪年的开端。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</si>
  <si>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共和，二伯行政。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</si>
  <si>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共和元年，中国历史确切纪年起点，前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</t>
    </r>
  </si>
  <si>
    <t xml:space="preserve">褚先生补充记载，商的始祖契，其母与姊妹浴于玄丘水，有燕衔卵堕之，契母含之误吞而生契。契生而贤，尧立为司徒，姓之曰子氏。后十余世至汤，王天下。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</si>
  <si>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之先为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，无父而生。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母与姊妹浴於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玄丘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水，有🌿燕🌿衔卵堕之，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母得，故含之，误吞之，即生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</si>
  <si>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[5.1]</t>
  </si>
  <si>
    <r>
      <rPr>
        <sz val="11"/>
        <color theme="1"/>
        <rFont val="思源黑体"/>
        <family val="2"/>
      </rPr>
      <t xml:space="preserve">契与尧同时代，尧封契为司徒。约前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年为尧帝时期的传统年代。当前标注已从早期错误修正为约前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年，正确。但主要人物字段包含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可能导致再次误标——汤是后十余世的后裔，不是此事件的当事人，建议从主要人物中移除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</t>
    </r>
  </si>
  <si>
    <t xml:space="preserve">周的始祖后稷，其母姜嫄出见大人足迹而践踏之，遂怀孕生后稷。姜嫄以为无父而弃之道中，牛羊避不践踏。弃于山中，山者养之；弃于大泽，鸟覆席食之。尧知其贤才，立为大农。后世且千岁至文王而有天下。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</si>
  <si>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之先为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亦无父而生。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母为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姜嫄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，出见大人迹而履践之，知於身，则生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</si>
  <si>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[6.1]-[6.6]</t>
  </si>
  <si>
    <r>
      <rPr>
        <sz val="11"/>
        <color theme="1"/>
        <rFont val="思源黑体"/>
        <family val="2"/>
      </rPr>
      <t xml:space="preserve">后稷与尧同时代，尧立为大农。约前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年合理。主要人物字段包含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（后世千岁的后裔），可能导致自动标注误用后裔年代。建议从主要人物中移除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</t>
    </r>
  </si>
  <si>
    <t xml:space="preserve">尧知契和稷皆为贤人、天之所生，故封契七十里。后十余世至汤，王天下。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</si>
  <si>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知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皆贤人，天之所生，故封之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契</t>
    </r>
    <r>
      <rPr>
        <sz val="11"/>
        <color theme="1"/>
        <rFont val="Calibri"/>
        <family val="2"/>
        <charset val="1"/>
      </rPr>
      <t xml:space="preserve">?%</t>
    </r>
    <r>
      <rPr>
        <sz val="11"/>
        <color theme="1"/>
        <rFont val="思源黑体"/>
        <family val="2"/>
      </rPr>
      <t xml:space="preserve">七十里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，後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十馀世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汤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，王天下。</t>
    </r>
    <r>
      <rPr>
        <sz val="11"/>
        <color theme="1"/>
        <rFont val="Calibri"/>
        <family val="2"/>
        <charset val="1"/>
      </rPr>
      <t xml:space="preserve">"</t>
    </r>
  </si>
  <si>
    <t xml:space="preserve">[4.3]</t>
  </si>
  <si>
    <r>
      <rPr>
        <sz val="11"/>
        <color theme="1"/>
        <rFont val="思源黑体"/>
        <family val="2"/>
      </rPr>
      <t xml:space="preserve">时间字段中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七十里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是纪年标记格式的误用——七十里是封地大小而非纪年标记，不应使用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标记。应从时间字段移除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七十里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，仅保留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。年份本身正确</t>
    </r>
  </si>
  <si>
    <t xml:space="preserve">尧知后稷子孙之后必将称王天下，故增封后稷百里。其后世且千岁，至文王而有天下。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</si>
  <si>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知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后稷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子孙之後王也，故益封之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百里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，其後世且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千岁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，至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而有天下。</t>
    </r>
    <r>
      <rPr>
        <sz val="11"/>
        <color theme="1"/>
        <rFont val="Calibri"/>
        <family val="2"/>
        <charset val="1"/>
      </rPr>
      <t xml:space="preserve">"</t>
    </r>
  </si>
  <si>
    <t xml:space="preserve">[4.4]</t>
  </si>
  <si>
    <r>
      <rPr>
        <sz val="11"/>
        <color theme="1"/>
        <rFont val="思源黑体"/>
        <family val="2"/>
      </rPr>
      <t xml:space="preserve">同</t>
    </r>
    <r>
      <rPr>
        <sz val="11"/>
        <color theme="1"/>
        <rFont val="Calibri"/>
        <family val="2"/>
        <charset val="1"/>
      </rPr>
      <t xml:space="preserve">013-012</t>
    </r>
    <r>
      <rPr>
        <sz val="11"/>
        <color theme="1"/>
        <rFont val="思源黑体"/>
        <family val="2"/>
      </rPr>
      <t xml:space="preserve">，时间字段中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百里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是封地大小而非纪年标记，不应使用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标记。应从时间字段移除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百里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，仅保留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2300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。年份本身正确</t>
    </r>
  </si>
  <si>
    <t xml:space="preserve">周武王封其弟叔处于霍国。霍为国名，武王以分封巩固周朝统治。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</si>
  <si>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武王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封弟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叔处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於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霍</t>
    </r>
    <r>
      <rPr>
        <sz val="11"/>
        <color theme="1"/>
        <rFont val="Calibri"/>
        <family val="2"/>
        <charset val="1"/>
      </rPr>
      <t xml:space="preserve">&amp;"</t>
    </r>
  </si>
  <si>
    <t xml:space="preserve">[9.4]</t>
  </si>
  <si>
    <r>
      <rPr>
        <sz val="11"/>
        <color theme="1"/>
        <rFont val="思源黑体"/>
        <family val="2"/>
      </rPr>
      <t xml:space="preserve">确定性升级：年表前</t>
    </r>
    <r>
      <rPr>
        <sz val="11"/>
        <color theme="1"/>
        <rFont val="Calibri"/>
        <family val="2"/>
        <charset val="1"/>
      </rPr>
      <t xml:space="preserve">1046—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1043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弟叔武（处，曼叔）于霍（今山西霍州西）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，此为武王克殷后分封的精确纪年事件，应从推断标注升级为精确标注</t>
    </r>
  </si>
  <si>
    <t xml:space="preserve">晋献公灭霍国，霍公的后世沦为庶民，往来居于平阳。此事与后来霍光家族的渊源有关。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</si>
  <si>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後世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晋献公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灭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霍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公，後世为庶民，往来居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平阳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</si>
  <si>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661</t>
    </r>
    <r>
      <rPr>
        <sz val="11"/>
        <color theme="1"/>
        <rFont val="思源黑体"/>
        <family val="2"/>
      </rPr>
      <t xml:space="preserve">年明确记载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晋献公十六年灭耿、霍、魏</t>
    </r>
    <r>
      <rPr>
        <sz val="11"/>
        <color theme="1"/>
        <rFont val="Calibri"/>
        <family val="2"/>
        <charset val="1"/>
      </rPr>
      <t xml:space="preserve">"</t>
    </r>
  </si>
  <si>
    <t xml:space="preserve">褚先生记载，汉大将军霍光亦为黄帝后世。霍光本居平阳燕地，汉兴百有余年，持天下之政，时有婴儿主（昭帝），欲行车。黄帝终始传预言与此相合。</t>
  </si>
  <si>
    <r>
      <rPr>
        <sz val="11"/>
        <color theme="1"/>
        <rFont val="Calibri"/>
        <family val="2"/>
        <charset val="1"/>
      </rPr>
      <t xml:space="preserve">"?</t>
    </r>
    <r>
      <rPr>
        <sz val="11"/>
        <color theme="1"/>
        <rFont val="思源黑体"/>
        <family val="2"/>
      </rPr>
      <t xml:space="preserve">黄帝</t>
    </r>
    <r>
      <rPr>
        <sz val="11"/>
        <color theme="1"/>
        <rFont val="Calibri"/>
        <family val="2"/>
        <charset val="1"/>
      </rPr>
      <t xml:space="preserve">?</t>
    </r>
    <r>
      <rPr>
        <sz val="11"/>
        <color theme="1"/>
        <rFont val="思源黑体"/>
        <family val="2"/>
      </rPr>
      <t xml:space="preserve">终始传曰：</t>
    </r>
    <r>
      <rPr>
        <sz val="11"/>
        <color theme="1"/>
        <rFont val="Calibri"/>
        <family val="2"/>
        <charset val="1"/>
      </rPr>
      <t xml:space="preserve">'&amp;</t>
    </r>
    <r>
      <rPr>
        <sz val="11"/>
        <color theme="1"/>
        <rFont val="思源黑体"/>
        <family val="2"/>
      </rPr>
      <t xml:space="preserve">汉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兴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百有馀年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，有人不短不长，出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之乡，持天下之政，时有婴兒主，欲行车。</t>
    </r>
    <r>
      <rPr>
        <sz val="11"/>
        <color theme="1"/>
        <rFont val="Calibri"/>
        <family val="2"/>
        <charset val="1"/>
      </rPr>
      <t xml:space="preserve">'"</t>
    </r>
  </si>
  <si>
    <t xml:space="preserve">[9.8]</t>
  </si>
  <si>
    <r>
      <rPr>
        <sz val="11"/>
        <color theme="1"/>
        <rFont val="思源黑体"/>
        <family val="2"/>
      </rPr>
      <t xml:space="preserve">确定性升级：年表前</t>
    </r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以霍光为大司马、大将军，金日磾为车骑将军，上官桀为左将军，受遗诏辅幼主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，年表有精确记载，应从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推断标注升级为（）精确标注</t>
    </r>
  </si>
  <si>
    <t xml:space="preserve">太史公读春秋历谱谍叹周厉王之败，追溯乱之源头。纣王制作象牙筷子，箕子为之叹息，预见殷商将亡。师挚亦见微知著。此为序言中以衰亡之兆论述历史因果的开端。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</si>
  <si>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纣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象箸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箕子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唏。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</si>
  <si>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年表记纣（帝辛）在位期为前</t>
    </r>
    <r>
      <rPr>
        <sz val="11"/>
        <color theme="1"/>
        <rFont val="Calibri"/>
        <family val="2"/>
        <charset val="1"/>
      </rPr>
      <t xml:space="preserve">1075—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1046</t>
    </r>
    <r>
      <rPr>
        <sz val="11"/>
        <color theme="1"/>
        <rFont val="思源黑体"/>
        <family val="2"/>
      </rPr>
      <t xml:space="preserve">年。原标注使用纣生卒中点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1105~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1046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1076</t>
    </r>
    <r>
      <rPr>
        <sz val="11"/>
        <color theme="1"/>
        <rFont val="思源黑体"/>
        <family val="2"/>
      </rPr>
      <t xml:space="preserve">年，但此年甚至在纣即位之前。纣为象箸是即位后的奢侈行为，应在其在位期内。取在位期中点约前</t>
    </r>
    <r>
      <rPr>
        <sz val="11"/>
        <color theme="1"/>
        <rFont val="Calibri"/>
        <family val="2"/>
        <charset val="1"/>
      </rPr>
      <t xml:space="preserve">1060</t>
    </r>
    <r>
      <rPr>
        <sz val="11"/>
        <color theme="1"/>
        <rFont val="思源黑体"/>
        <family val="2"/>
      </rPr>
      <t xml:space="preserve">年更合理。</t>
    </r>
  </si>
  <si>
    <t xml:space="preserve">周厉王以恶闻过错，公卿惧诛，祸乱遂作。厉王被迫出奔于彘，王室动荡，乱自京师始，共和行政由此开始。此后强者以力政，兴师不请天子，五伯主政、诸侯恣行。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</si>
  <si>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及至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厉王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，以恶闻其过，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公卿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惧诛而祸作，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厉王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遂奔于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彘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，乱自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京师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始，而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共和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行政焉。</t>
    </r>
    <r>
      <rPr>
        <sz val="11"/>
        <color theme="1"/>
        <rFont val="Calibri"/>
        <family val="2"/>
        <charset val="1"/>
      </rPr>
      <t xml:space="preserve">"</t>
    </r>
  </si>
  <si>
    <t xml:space="preserve">[2.1]</t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</si>
  <si>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周国人起义，攻王宫。厉王奔彘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，应从推断升级为精确纪年</t>
    </r>
  </si>
  <si>
    <t xml:space="preserve">齐、晋、秦、楚在成周时期封地甚微，或百里或五十里。然晋阻三河，齐负东海，楚介江淮，秦因雍州之固，四国迭兴，更为霸主，连文王武王所封的大国都臣服于他们。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</si>
  <si>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其在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成周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微甚，封或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百里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或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五十里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</si>
  <si>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[3.1]-[3.2]</t>
  </si>
  <si>
    <r>
      <rPr>
        <sz val="11"/>
        <color theme="1"/>
        <rFont val="思源黑体"/>
        <family val="2"/>
      </rPr>
      <t xml:space="preserve">此为概述齐晋秦楚迭为霸主的总结性段落，齐桓公霸业始于前</t>
    </r>
    <r>
      <rPr>
        <sz val="11"/>
        <color theme="1"/>
        <rFont val="Calibri"/>
        <family val="2"/>
        <charset val="1"/>
      </rPr>
      <t xml:space="preserve">685</t>
    </r>
    <r>
      <rPr>
        <sz val="11"/>
        <color theme="1"/>
        <rFont val="思源黑体"/>
        <family val="2"/>
      </rPr>
      <t xml:space="preserve">年，春秋霸政延续至前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思源黑体"/>
        <family val="2"/>
      </rPr>
      <t xml:space="preserve">年前后，不应取孔子生卒中点。属于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复合总结段落单点标注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问题</t>
    </r>
  </si>
  <si>
    <t xml:space="preserve">孔子明王道，游历七十余君而莫能用，故西观周室，论史记旧闻，兴于鲁而编次《春秋》，上记隐公，下至哀公之获麟，约其辞文，以制义法，使王道完备、人事毕具。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</si>
  <si>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是以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孔子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明王道，干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七十馀君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，莫能用，故西观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室，论史记旧闻，兴於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而次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春秋</t>
    </r>
    <r>
      <rPr>
        <sz val="11"/>
        <color theme="1"/>
        <rFont val="Calibri"/>
        <family val="2"/>
        <charset val="1"/>
      </rPr>
      <t xml:space="preserve">*"</t>
    </r>
  </si>
  <si>
    <t xml:space="preserve">[4.1]</t>
  </si>
  <si>
    <r>
      <rPr>
        <sz val="11"/>
        <color theme="1"/>
        <rFont val="思源黑体"/>
        <family val="2"/>
      </rPr>
      <t xml:space="preserve">孔子作《春秋》记事下至鲁哀公十四年获麟（前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思源黑体"/>
        <family val="2"/>
      </rPr>
      <t xml:space="preserve">年），此为学界公认的编次终止年份。年表前</t>
    </r>
    <r>
      <rPr>
        <sz val="11"/>
        <color theme="1"/>
        <rFont val="Calibri"/>
        <family val="2"/>
        <charset val="1"/>
      </rPr>
      <t xml:space="preserve">479</t>
    </r>
    <r>
      <rPr>
        <sz val="11"/>
        <color theme="1"/>
        <rFont val="思源黑体"/>
        <family val="2"/>
      </rPr>
      <t xml:space="preserve">年条亦确认孔子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修订春秋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。前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思源黑体"/>
        <family val="2"/>
      </rPr>
      <t xml:space="preserve">年作为《春秋》截止年份有充分依据，升级为精确标注。</t>
    </r>
  </si>
  <si>
    <t xml:space="preserve">鲁国君子左丘明担心弟子各人立意不同，失去真意，故因孔子史记详论其语，著成《左氏春秋》。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</si>
  <si>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君子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左丘明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惧弟子人人异端，各安其意，失其真，故因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孔子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史记具论其语，成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左氏春秋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</si>
  <si>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左丘明据孔子《春秋》而作《左氏春秋》，必在孔子卒（前</t>
    </r>
    <r>
      <rPr>
        <sz val="11"/>
        <color theme="1"/>
        <rFont val="Calibri"/>
        <family val="2"/>
        <charset val="1"/>
      </rPr>
      <t xml:space="preserve">479</t>
    </r>
    <r>
      <rPr>
        <sz val="11"/>
        <color theme="1"/>
        <rFont val="思源黑体"/>
        <family val="2"/>
      </rPr>
      <t xml:space="preserve">年）后或同期。年表前</t>
    </r>
    <r>
      <rPr>
        <sz val="11"/>
        <color theme="1"/>
        <rFont val="Calibri"/>
        <family val="2"/>
        <charset val="1"/>
      </rPr>
      <t xml:space="preserve">468</t>
    </r>
    <r>
      <rPr>
        <sz val="11"/>
        <color theme="1"/>
        <rFont val="思源黑体"/>
        <family val="2"/>
      </rPr>
      <t xml:space="preserve">年条载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《左传》旧传春秋时鲁人左丘明作，今人多以为系战国初年人所撰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，《左传》编年至前</t>
    </r>
    <r>
      <rPr>
        <sz val="11"/>
        <color theme="1"/>
        <rFont val="Calibri"/>
        <family val="2"/>
        <charset val="1"/>
      </rPr>
      <t xml:space="preserve">468</t>
    </r>
    <r>
      <rPr>
        <sz val="11"/>
        <color theme="1"/>
        <rFont val="思源黑体"/>
        <family val="2"/>
      </rPr>
      <t xml:space="preserve">年止，当以此为约略年份</t>
    </r>
  </si>
  <si>
    <t xml:space="preserve">铎椒为楚威王太傅，因威王不能尽观《春秋》，采取其中成败之事，共四十章，名为《铎氏微》。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</si>
  <si>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铎椒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&amp;$</t>
    </r>
    <r>
      <rPr>
        <sz val="11"/>
        <color theme="1"/>
        <rFont val="思源黑体"/>
        <family val="2"/>
      </rPr>
      <t xml:space="preserve">威王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传，为王不能尽观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，采取成败，卒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四十章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铎氏微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</si>
  <si>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时间字段存在重复标注：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约前</t>
    </r>
    <r>
      <rPr>
        <sz val="11"/>
        <color theme="1"/>
        <rFont val="Calibri"/>
        <family val="2"/>
        <charset val="1"/>
      </rPr>
      <t xml:space="preserve">335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 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。第一个标注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约前</t>
    </r>
    <r>
      <rPr>
        <sz val="11"/>
        <color theme="1"/>
        <rFont val="Calibri"/>
        <family val="2"/>
        <charset val="1"/>
      </rPr>
      <t xml:space="preserve">335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缺少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公元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二字不符合标注规范，且年份与第二个标注不一致（前</t>
    </r>
    <r>
      <rPr>
        <sz val="11"/>
        <color theme="1"/>
        <rFont val="Calibri"/>
        <family val="2"/>
        <charset val="1"/>
      </rPr>
      <t xml:space="preserve">335 vs 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）。楚威王在位前</t>
    </r>
    <r>
      <rPr>
        <sz val="11"/>
        <color theme="1"/>
        <rFont val="Calibri"/>
        <family val="2"/>
        <charset val="1"/>
      </rPr>
      <t xml:space="preserve">339-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329</t>
    </r>
    <r>
      <rPr>
        <sz val="11"/>
        <color theme="1"/>
        <rFont val="思源黑体"/>
        <family val="2"/>
      </rPr>
      <t xml:space="preserve">年，中点约前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年。应统一为单一规范标注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</si>
  <si>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赵孝成王时，其丞相虞卿上采《春秋》，下观近势，著八篇，名为《虞氏春秋》。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</si>
  <si>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&amp;$</t>
    </r>
    <r>
      <rPr>
        <sz val="11"/>
        <color theme="1"/>
        <rFont val="思源黑体"/>
        <family val="2"/>
      </rPr>
      <t xml:space="preserve">孝成王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时，其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相</t>
    </r>
    <r>
      <rPr>
        <sz val="11"/>
        <color theme="1"/>
        <rFont val="Calibri"/>
        <family val="2"/>
        <charset val="1"/>
      </rPr>
      <t xml:space="preserve">$$</t>
    </r>
    <r>
      <rPr>
        <sz val="11"/>
        <color theme="1"/>
        <rFont val="思源黑体"/>
        <family val="2"/>
      </rPr>
      <t xml:space="preserve">虞卿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上采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，下观近势，亦著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八篇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虞氏春秋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</si>
  <si>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[5.2]</t>
  </si>
  <si>
    <r>
      <rPr>
        <sz val="11"/>
        <color theme="1"/>
        <rFont val="思源黑体"/>
        <family val="2"/>
      </rPr>
      <t xml:space="preserve">虞卿为赵孝成王相，赵孝成王在位前</t>
    </r>
    <r>
      <rPr>
        <sz val="11"/>
        <color theme="1"/>
        <rFont val="Calibri"/>
        <family val="2"/>
        <charset val="1"/>
      </rPr>
      <t xml:space="preserve">265—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245</t>
    </r>
    <r>
      <rPr>
        <sz val="11"/>
        <color theme="1"/>
        <rFont val="思源黑体"/>
        <family val="2"/>
      </rPr>
      <t xml:space="preserve">年。原标注前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年为单锚点塌缩错误，应取赵孝成王在位期间约前</t>
    </r>
    <r>
      <rPr>
        <sz val="11"/>
        <color theme="1"/>
        <rFont val="Calibri"/>
        <family val="2"/>
        <charset val="1"/>
      </rPr>
      <t xml:space="preserve">255</t>
    </r>
    <r>
      <rPr>
        <sz val="11"/>
        <color theme="1"/>
        <rFont val="思源黑体"/>
        <family val="2"/>
      </rPr>
      <t xml:space="preserve">年</t>
    </r>
  </si>
  <si>
    <t xml:space="preserve">秦庄襄王丞相吕不韦，上观尚古，删拾《春秋》，集六国时事，编为《八览》《六论》《十二纪》，总称《吕氏春秋》。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</si>
  <si>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吕不韦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者，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&amp;$</t>
    </r>
    <r>
      <rPr>
        <sz val="11"/>
        <color theme="1"/>
        <rFont val="思源黑体"/>
        <family val="2"/>
      </rPr>
      <t xml:space="preserve">庄襄王</t>
    </r>
    <r>
      <rPr>
        <sz val="11"/>
        <color theme="1"/>
        <rFont val="Calibri"/>
        <family val="2"/>
        <charset val="1"/>
      </rPr>
      <t xml:space="preserve">$$</t>
    </r>
    <r>
      <rPr>
        <sz val="11"/>
        <color theme="1"/>
        <rFont val="思源黑体"/>
        <family val="2"/>
      </rPr>
      <t xml:space="preserve">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，亦上观尚古，删拾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，集六国时事，以为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八览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六论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十二纪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，为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吕氏春秋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</si>
  <si>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[5.3]</t>
  </si>
  <si>
    <r>
      <rPr>
        <sz val="11"/>
        <color theme="1"/>
        <rFont val="思源黑体"/>
        <family val="2"/>
      </rPr>
      <t xml:space="preserve">《吕氏春秋》编成时间学界一般认为在秦王政八年（前</t>
    </r>
    <r>
      <rPr>
        <sz val="11"/>
        <color theme="1"/>
        <rFont val="Calibri"/>
        <family val="2"/>
        <charset val="1"/>
      </rPr>
      <t xml:space="preserve">239</t>
    </r>
    <r>
      <rPr>
        <sz val="11"/>
        <color theme="1"/>
        <rFont val="思源黑体"/>
        <family val="2"/>
      </rPr>
      <t xml:space="preserve">年）前后。年表前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思源黑体"/>
        <family val="2"/>
      </rPr>
      <t xml:space="preserve">年条记载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秦吕不韦因嫪毐事免相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，前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思源黑体"/>
        <family val="2"/>
      </rPr>
      <t xml:space="preserve">年记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吕不韦被迫自杀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。吕不韦为相期间（前</t>
    </r>
    <r>
      <rPr>
        <sz val="11"/>
        <color theme="1"/>
        <rFont val="Calibri"/>
        <family val="2"/>
        <charset val="1"/>
      </rPr>
      <t xml:space="preserve">249—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思源黑体"/>
        <family val="2"/>
      </rPr>
      <t xml:space="preserve">年）编书，一般认为成书于前</t>
    </r>
    <r>
      <rPr>
        <sz val="11"/>
        <color theme="1"/>
        <rFont val="Calibri"/>
        <family val="2"/>
        <charset val="1"/>
      </rPr>
      <t xml:space="preserve">241—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239</t>
    </r>
    <r>
      <rPr>
        <sz val="11"/>
        <color theme="1"/>
        <rFont val="思源黑体"/>
        <family val="2"/>
      </rPr>
      <t xml:space="preserve">年。前</t>
    </r>
    <r>
      <rPr>
        <sz val="11"/>
        <color theme="1"/>
        <rFont val="Calibri"/>
        <family val="2"/>
        <charset val="1"/>
      </rPr>
      <t xml:space="preserve">239</t>
    </r>
    <r>
      <rPr>
        <sz val="11"/>
        <color theme="1"/>
        <rFont val="思源黑体"/>
        <family val="2"/>
      </rPr>
      <t xml:space="preserve">年比前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思源黑体"/>
        <family val="2"/>
      </rPr>
      <t xml:space="preserve">年更接近学界通说。不过差异很小，保留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标记。</t>
    </r>
  </si>
  <si>
    <r>
      <rPr>
        <sz val="11"/>
        <color theme="1"/>
        <rFont val="思源黑体"/>
        <family val="2"/>
      </rPr>
      <t xml:space="preserve">共和元年（前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年），厉王子居召公宫，是为宣王。王年幼，大臣共同行政。这是中国历史上确切纪年的开端，十二诸侯年表即从此年起记。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</si>
  <si>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共和元年厉王子居召公宫，是为宣王。王少，大臣共和行政。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</si>
  <si>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</si>
  <si>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原文记载共和元年，即公元前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</t>
    </r>
  </si>
  <si>
    <r>
      <rPr>
        <sz val="11"/>
        <color theme="1"/>
        <rFont val="思源黑体"/>
        <family val="2"/>
      </rPr>
      <t xml:space="preserve">共和十四年（前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年），宣王正式即位，共和行政结束。宣王在位期间一度中兴周室。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</si>
  <si>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十四宣王即位，共和罢。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</si>
  <si>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</si>
  <si>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概览表时间字段为</t>
    </r>
    <r>
      <rPr>
        <sz val="11"/>
        <color theme="1"/>
        <rFont val="Calibri"/>
        <family val="2"/>
        <charset val="1"/>
      </rPr>
      <t xml:space="preserve">'-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，前面有一个无意义的</t>
    </r>
    <r>
      <rPr>
        <sz val="11"/>
        <color theme="1"/>
        <rFont val="Calibri"/>
        <family val="2"/>
        <charset val="1"/>
      </rPr>
      <t xml:space="preserve">'-'</t>
    </r>
    <r>
      <rPr>
        <sz val="11"/>
        <color theme="1"/>
        <rFont val="思源黑体"/>
        <family val="2"/>
      </rPr>
      <t xml:space="preserve">号。详情时间已正确标注为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共和十四年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。概览表应与详情一致，去除</t>
    </r>
    <r>
      <rPr>
        <sz val="11"/>
        <color theme="1"/>
        <rFont val="Calibri"/>
        <family val="2"/>
        <charset val="1"/>
      </rPr>
      <t xml:space="preserve">'-'</t>
    </r>
    <r>
      <rPr>
        <sz val="11"/>
        <color theme="1"/>
        <rFont val="思源黑体"/>
        <family val="2"/>
      </rPr>
      <t xml:space="preserve">并补上纪年标记</t>
    </r>
  </si>
  <si>
    <t xml:space="preserve">鲁国伯御（武公之孙）篡位自立为君，周宣王诛伯御，立其弟称为孝公，以正鲁国君位。这体现了宣王时期天子仍有干预诸侯内政的权力。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</si>
  <si>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十一周宣王诛伯御，立其弟称，是为孝公。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</si>
  <si>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796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</si>
  <si>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年代推断中说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应从精确纪年（）降级为确定推算</t>
    </r>
    <r>
      <rPr>
        <sz val="11"/>
        <color theme="1"/>
        <rFont val="Calibri"/>
        <family val="2"/>
        <charset val="1"/>
      </rPr>
      <t xml:space="preserve">[]'</t>
    </r>
    <r>
      <rPr>
        <sz val="11"/>
        <color theme="1"/>
        <rFont val="思源黑体"/>
        <family val="2"/>
      </rPr>
      <t xml:space="preserve">，当前已使用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796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确定推算标注，符合建议。年表无前</t>
    </r>
    <r>
      <rPr>
        <sz val="11"/>
        <color theme="1"/>
        <rFont val="Calibri"/>
        <family val="2"/>
        <charset val="1"/>
      </rPr>
      <t xml:space="preserve">796</t>
    </r>
    <r>
      <rPr>
        <sz val="11"/>
        <color theme="1"/>
        <rFont val="思源黑体"/>
        <family val="2"/>
      </rPr>
      <t xml:space="preserve">年直接条目，但</t>
    </r>
    <r>
      <rPr>
        <sz val="11"/>
        <color theme="1"/>
        <rFont val="Calibri"/>
        <family val="2"/>
        <charset val="1"/>
      </rPr>
      <t xml:space="preserve">reign-year</t>
    </r>
    <r>
      <rPr>
        <sz val="11"/>
        <color theme="1"/>
        <rFont val="思源黑体"/>
        <family val="2"/>
      </rPr>
      <t xml:space="preserve">换算（宣王三十二年</t>
    </r>
    <r>
      <rPr>
        <sz val="11"/>
        <color theme="1"/>
        <rFont val="Calibri"/>
        <family val="2"/>
        <charset val="1"/>
      </rPr>
      <t xml:space="preserve">=828-(32-1)=797≠796</t>
    </r>
    <r>
      <rPr>
        <sz val="11"/>
        <color theme="1"/>
        <rFont val="思源黑体"/>
        <family val="2"/>
      </rPr>
      <t xml:space="preserve">）可能有</t>
    </r>
    <r>
      <rPr>
        <sz val="11"/>
        <color theme="1"/>
        <rFont val="Calibri"/>
        <family val="2"/>
        <charset val="1"/>
      </rPr>
      <t xml:space="preserve">off-by-one</t>
    </r>
    <r>
      <rPr>
        <sz val="11"/>
        <color theme="1"/>
        <rFont val="思源黑体"/>
        <family val="2"/>
      </rPr>
      <t xml:space="preserve">问题。宣王元年按年表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827</t>
    </r>
    <r>
      <rPr>
        <sz val="11"/>
        <color theme="1"/>
        <rFont val="思源黑体"/>
        <family val="2"/>
      </rPr>
      <t xml:space="preserve">年，三十二年</t>
    </r>
    <r>
      <rPr>
        <sz val="11"/>
        <color theme="1"/>
        <rFont val="Calibri"/>
        <family val="2"/>
        <charset val="1"/>
      </rPr>
      <t xml:space="preserve">=827-(32-1)=796</t>
    </r>
    <r>
      <rPr>
        <sz val="11"/>
        <color theme="1"/>
        <rFont val="思源黑体"/>
        <family val="2"/>
      </rPr>
      <t xml:space="preserve">年，计算正确（注意宣王元年有前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和前</t>
    </r>
    <r>
      <rPr>
        <sz val="11"/>
        <color theme="1"/>
        <rFont val="Calibri"/>
        <family val="2"/>
        <charset val="1"/>
      </rPr>
      <t xml:space="preserve">827</t>
    </r>
    <r>
      <rPr>
        <sz val="11"/>
        <color theme="1"/>
        <rFont val="思源黑体"/>
        <family val="2"/>
      </rPr>
      <t xml:space="preserve">两说，年表记前</t>
    </r>
    <r>
      <rPr>
        <sz val="11"/>
        <color theme="1"/>
        <rFont val="Calibri"/>
        <family val="2"/>
        <charset val="1"/>
      </rPr>
      <t xml:space="preserve">828</t>
    </r>
    <r>
      <rPr>
        <sz val="11"/>
        <color theme="1"/>
        <rFont val="思源黑体"/>
        <family val="2"/>
      </rPr>
      <t xml:space="preserve">年厉王死、宣王即位，但宣王元年通常记为次年前</t>
    </r>
    <r>
      <rPr>
        <sz val="11"/>
        <color theme="1"/>
        <rFont val="Calibri"/>
        <family val="2"/>
        <charset val="1"/>
      </rPr>
      <t xml:space="preserve">827</t>
    </r>
    <r>
      <rPr>
        <sz val="11"/>
        <color theme="1"/>
        <rFont val="思源黑体"/>
        <family val="2"/>
      </rPr>
      <t xml:space="preserve">）。保留当前标注</t>
    </r>
  </si>
  <si>
    <t xml:space="preserve">郑桓公友为周宣王母弟，始封于郑。郑国由此建立，后成为春秋时期重要诸侯国。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</si>
  <si>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郑桓公友元年始封。周宣王母弟。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</si>
  <si>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806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</si>
  <si>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段落位置明确标注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806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，年表前</t>
    </r>
    <r>
      <rPr>
        <sz val="11"/>
        <color theme="1"/>
        <rFont val="Calibri"/>
        <family val="2"/>
        <charset val="1"/>
      </rPr>
      <t xml:space="preserve">806</t>
    </r>
    <r>
      <rPr>
        <sz val="11"/>
        <color theme="1"/>
        <rFont val="思源黑体"/>
        <family val="2"/>
      </rPr>
      <t xml:space="preserve">年条确认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封庶弟友于郑，友即郑桓公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。原标注前</t>
    </r>
    <r>
      <rPr>
        <sz val="11"/>
        <color theme="1"/>
        <rFont val="Calibri"/>
        <family val="2"/>
        <charset val="1"/>
      </rPr>
      <t xml:space="preserve">841</t>
    </r>
    <r>
      <rPr>
        <sz val="11"/>
        <color theme="1"/>
        <rFont val="思源黑体"/>
        <family val="2"/>
      </rPr>
      <t xml:space="preserve">年为章节插值错误</t>
    </r>
  </si>
  <si>
    <t xml:space="preserve">太史公读秦记，至犬戎败幽王，周室东迁洛邑。这一重大事件标志着西周灭亡、东周开始，也是秦国崛起的历史起点。</t>
  </si>
  <si>
    <r>
      <rPr>
        <sz val="11"/>
        <color theme="1"/>
        <rFont val="Calibri"/>
        <family val="2"/>
        <charset val="1"/>
      </rPr>
      <t xml:space="preserve">"$</t>
    </r>
    <r>
      <rPr>
        <sz val="11"/>
        <color theme="1"/>
        <rFont val="思源黑体"/>
        <family val="2"/>
      </rPr>
      <t xml:space="preserve">太史公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读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秦记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，至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犬戎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幽王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东徙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洛邑</t>
    </r>
    <r>
      <rPr>
        <sz val="11"/>
        <color theme="1"/>
        <rFont val="Calibri"/>
        <family val="2"/>
        <charset val="1"/>
      </rPr>
      <t xml:space="preserve">="</t>
    </r>
  </si>
  <si>
    <t xml:space="preserve">[1.1]</t>
  </si>
  <si>
    <r>
      <rPr>
        <sz val="11"/>
        <color theme="1"/>
        <rFont val="思源黑体"/>
        <family val="2"/>
      </rPr>
      <t xml:space="preserve">年代推断行内容过于简略，仅写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771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而无推断依据。应补充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771</t>
    </r>
    <r>
      <rPr>
        <sz val="11"/>
        <color theme="1"/>
        <rFont val="思源黑体"/>
        <family val="2"/>
      </rPr>
      <t xml:space="preserve">年条明确记载犬戎攻破镐京，幽王死于骊山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。年份正确无需修改</t>
    </r>
  </si>
  <si>
    <t xml:space="preserve">秦襄公因护送周平王东迁有功，始封为诸侯，作西畤祭祀上帝。太史公认为秦国僭越之端由此开始。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</si>
  <si>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&amp;$</t>
    </r>
    <r>
      <rPr>
        <sz val="11"/>
        <color theme="1"/>
        <rFont val="思源黑体"/>
        <family val="2"/>
      </rPr>
      <t xml:space="preserve">襄公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始封为诸侯，作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西畤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用事上帝，僭端见矣。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</si>
  <si>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770</t>
    </r>
    <r>
      <rPr>
        <sz val="11"/>
        <color theme="1"/>
        <rFont val="思源黑体"/>
        <family val="2"/>
      </rPr>
      <t xml:space="preserve">年</t>
    </r>
  </si>
  <si>
    <t xml:space="preserve">秦文公越过陇山，驱逐夷狄，尊奉陈宝，经营岐雍之间，开拓秦国西部疆域。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</si>
  <si>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文公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逾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陇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，攘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夷狄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，尊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陈宝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，营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岐雍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之间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</si>
  <si>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思源黑体"/>
        <family val="2"/>
      </rPr>
      <t xml:space="preserve">年</t>
    </r>
  </si>
  <si>
    <t xml:space="preserve">秦穆公修明政治，向东扩展疆域至黄河，与齐桓、晋文并列为中国侯伯，秦国国力大增。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</si>
  <si>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穆公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脩政，东竟至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，则与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&amp;@</t>
    </r>
    <r>
      <rPr>
        <sz val="11"/>
        <color theme="1"/>
        <rFont val="思源黑体"/>
        <family val="2"/>
      </rPr>
      <t xml:space="preserve">桓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&amp;@</t>
    </r>
    <r>
      <rPr>
        <sz val="11"/>
        <color theme="1"/>
        <rFont val="思源黑体"/>
        <family val="2"/>
      </rPr>
      <t xml:space="preserve">文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中国侯伯侔矣。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</si>
  <si>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秦穆公在位前</t>
    </r>
    <r>
      <rPr>
        <sz val="11"/>
        <color theme="1"/>
        <rFont val="Calibri"/>
        <family val="2"/>
        <charset val="1"/>
      </rPr>
      <t xml:space="preserve">659-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621</t>
    </r>
    <r>
      <rPr>
        <sz val="11"/>
        <color theme="1"/>
        <rFont val="思源黑体"/>
        <family val="2"/>
      </rPr>
      <t xml:space="preserve">年。修政东竟至河为概括性叙述，取在位中点前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思源黑体"/>
        <family val="2"/>
      </rPr>
      <t xml:space="preserve">年作为近似值合理。可考虑改为区间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650—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621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。当前标注可接受。</t>
    </r>
  </si>
  <si>
    <t xml:space="preserve">田常杀齐简公而自为齐国丞相，诸侯晏然弗讨。海内从此争于战功，开始了战国争霸时代。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</si>
  <si>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田常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杀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简公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而相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国，诸侯晏然弗讨，海内争於战功矣。</t>
    </r>
    <r>
      <rPr>
        <sz val="11"/>
        <color theme="1"/>
        <rFont val="Calibri"/>
        <family val="2"/>
        <charset val="1"/>
      </rPr>
      <t xml:space="preserve">"</t>
    </r>
  </si>
  <si>
    <t xml:space="preserve">[2.3]</t>
  </si>
  <si>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481</t>
    </r>
    <r>
      <rPr>
        <sz val="11"/>
        <color theme="1"/>
        <rFont val="思源黑体"/>
        <family val="2"/>
      </rPr>
      <t xml:space="preserve">年</t>
    </r>
  </si>
  <si>
    <t xml:space="preserve">三国（韩赵魏）终于瓜分晋国，田和也灭齐而取代之。六国之盛由此开始，各国务在强兵并敌，谋诈纵横之说由此兴起。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</si>
  <si>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三国终之卒分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晋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田和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亦灭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而有之，六国之盛自此始。</t>
    </r>
    <r>
      <rPr>
        <sz val="11"/>
        <color theme="1"/>
        <rFont val="Calibri"/>
        <family val="2"/>
        <charset val="1"/>
      </rPr>
      <t xml:space="preserve">"</t>
    </r>
  </si>
  <si>
    <t xml:space="preserve">[3.1]</t>
  </si>
  <si>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</t>
    </r>
  </si>
  <si>
    <t xml:space="preserve">秦统一后焚烧天下《诗》《书》，诸侯史记尤甚，因其有所刺讥。《诗》《书》多藏于民间而得以复见，但史记独藏周室，故尽灭。太史公深感可惜。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</si>
  <si>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秦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既得意，烧天下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诗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思源黑体"/>
        <family val="2"/>
      </rPr>
      <t xml:space="preserve">书</t>
    </r>
    <r>
      <rPr>
        <sz val="11"/>
        <color theme="1"/>
        <rFont val="Calibri"/>
        <family val="2"/>
        <charset val="1"/>
      </rPr>
      <t xml:space="preserve">*</t>
    </r>
    <r>
      <rPr>
        <sz val="11"/>
        <color theme="1"/>
        <rFont val="思源黑体"/>
        <family val="2"/>
      </rPr>
      <t xml:space="preserve">，诸侯史记尤甚，为其有所刺讥也。</t>
    </r>
    <r>
      <rPr>
        <sz val="11"/>
        <color theme="1"/>
        <rFont val="Calibri"/>
        <family val="2"/>
        <charset val="1"/>
      </rPr>
      <t xml:space="preserve">"</t>
    </r>
  </si>
  <si>
    <t xml:space="preserve">[6.1]</t>
  </si>
  <si>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213</t>
    </r>
    <r>
      <rPr>
        <sz val="11"/>
        <color theme="1"/>
        <rFont val="思源黑体"/>
        <family val="2"/>
      </rPr>
      <t xml:space="preserve">年</t>
    </r>
  </si>
  <si>
    <t xml:space="preserve">赵襄子元年，未除服即登夏屋，诱代王至，以金斗杀之，并封伯鲁子周为代成君。此举奠定了赵国兼并代地的基础。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</si>
  <si>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襄子。元年未除服，登夏屋，诱代王，以金斗杀代王。封伯鲁子周为代成君。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</si>
  <si>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457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</si>
  <si>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六国年表明确将此事系于前</t>
    </r>
    <r>
      <rPr>
        <sz val="11"/>
        <color theme="1"/>
        <rFont val="Calibri"/>
        <family val="2"/>
        <charset val="1"/>
      </rPr>
      <t xml:space="preserve">457</t>
    </r>
    <r>
      <rPr>
        <sz val="11"/>
        <color theme="1"/>
        <rFont val="思源黑体"/>
        <family val="2"/>
      </rPr>
      <t xml:space="preserve">年条，以原表为据升级为精确标注。</t>
    </r>
  </si>
  <si>
    <t xml:space="preserve">赵襄子联合魏桓子、韩康子在晋阳大败智伯，三分其地。这是三家分晋的关键之战，标志着晋国实际灭亡。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</si>
  <si>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五。襄子败智伯晋阳，与魏、韩三分其地。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</si>
  <si>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453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</si>
  <si>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453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453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赵臣张孟谈说韩、魏与赵联合，决水灌知伯军，擒杀知伯，三分其地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</t>
    </r>
  </si>
  <si>
    <t xml:space="preserve">周威烈王二十三年，九鼎震动。魏、韩、赵正式被列为诸侯，三家分晋的局面得到天子认可。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</si>
  <si>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二十三。九鼎震。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二十二。初为侯。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六。初为侯。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六。初为侯。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</si>
  <si>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</si>
  <si>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403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周命魏斯、赵籍、韩虔为诸侯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475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72</t>
    </r>
    <r>
      <rPr>
        <sz val="11"/>
        <color theme="1"/>
        <rFont val="思源黑体"/>
        <family val="2"/>
      </rPr>
      <t xml:space="preserve">年。</t>
    </r>
  </si>
  <si>
    <t xml:space="preserve">秦孝公十二年，初聚小邑为三十一县并下令，又为田开阡陌，推行县制和土地改革。这是商鞅变法的核心举措，奠定了秦国强盛的制度基础。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</si>
  <si>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十二。初聚小邑为三十一县，令。为田开阡陌。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</si>
  <si>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</si>
  <si>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原文记载秦孝公十二年，即公元前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</t>
    </r>
  </si>
  <si>
    <t xml:space="preserve">魏襄王与齐王在徐州会盟，互相尊称为王（相王）。这一事件标志着诸侯公然僭越天子之号。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</si>
  <si>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魏襄王元年。与诸侯会徐州，以相王。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九。与魏会徐州，诸侯相王。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</si>
  <si>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</si>
  <si>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334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会徐州相王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思源黑体"/>
        <family val="2"/>
      </rPr>
      <t xml:space="preserve">年。</t>
    </r>
  </si>
  <si>
    <t xml:space="preserve">魏、韩、赵、楚、燕五国联合攻秦，但未能获胜而还。此为合纵抗秦的一次重要尝试，最终以失败告终。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</si>
  <si>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七。五国共击秦，不胜而还。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</si>
  <si>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318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</si>
  <si>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318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318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公孙衍发动魏、赵、韩、燕、楚五国合纵攻秦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思源黑体"/>
        <family val="2"/>
      </rPr>
      <t xml:space="preserve">年。</t>
    </r>
  </si>
  <si>
    <t xml:space="preserve">秦惠文王九年，秦军攻击蜀国并灭之，同时取赵中都、西阳。灭蜀使秦国获得了巴蜀粮仓，国力大增。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</si>
  <si>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九。击蜀，灭之。取赵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中都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、西阳。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</si>
  <si>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</si>
  <si>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316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秦惠文王更元九年，灭蜀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350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34</t>
    </r>
    <r>
      <rPr>
        <sz val="11"/>
        <color theme="1"/>
        <rFont val="思源黑体"/>
        <family val="2"/>
      </rPr>
      <t xml:space="preserve">年。</t>
    </r>
  </si>
  <si>
    <t xml:space="preserve">秦武王二年，初设丞相之职，以樗里子、甘茂为丞相。这是秦国官制的重要变革。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</si>
  <si>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二。初置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，樗里子、甘茂为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</si>
  <si>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309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</si>
  <si>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原文记载秦武王二年，即公元前</t>
    </r>
    <r>
      <rPr>
        <sz val="11"/>
        <color theme="1"/>
        <rFont val="Calibri"/>
        <family val="2"/>
        <charset val="1"/>
      </rPr>
      <t xml:space="preserve">309</t>
    </r>
    <r>
      <rPr>
        <sz val="11"/>
        <color theme="1"/>
        <rFont val="思源黑体"/>
        <family val="2"/>
      </rPr>
      <t xml:space="preserve">年</t>
    </r>
  </si>
  <si>
    <t xml:space="preserve">赵武灵王十九年，推行胡服骑射改革。这是赵国军事制度的重大变革，使赵国成为战国后期能与秦抗衡的强国。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</si>
  <si>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十九。初胡服。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</si>
  <si>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</si>
  <si>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原文记载赵武灵王十九年，即公元前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年</t>
    </r>
  </si>
  <si>
    <t xml:space="preserve">秦昭襄王十四年，白起在伊阙大败韩魏联军，斩首二十四万，虏韩将喜。这是战国时期最大规模的歼灭战之一。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</si>
  <si>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十四。白起击伊阙，斩首二十四万。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</si>
  <si>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293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</si>
  <si>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293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293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白起攻下伊阙，大破韩、魏联军，斩首二十四万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14</t>
    </r>
    <r>
      <rPr>
        <sz val="11"/>
        <color theme="1"/>
        <rFont val="思源黑体"/>
        <family val="2"/>
      </rPr>
      <t xml:space="preserve">年。</t>
    </r>
  </si>
  <si>
    <t xml:space="preserve">秦与韩、魏、燕、赵五国联合攻齐，大破齐军。燕军独入至临菑，取其宝器。齐湣王走莒。此役使齐国一蹶不振。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</si>
  <si>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二十三。尉斯离与韩、魏、燕、赵共击齐，破之。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四十。五国共击湣王，王走莒。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</si>
  <si>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284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</si>
  <si>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284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284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燕昭王以乐毅为上将军攻齐，秦与三晋都出兵参加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。概览与详情年份不一致（前</t>
    </r>
    <r>
      <rPr>
        <sz val="11"/>
        <color theme="1"/>
        <rFont val="Calibri"/>
        <family val="2"/>
        <charset val="1"/>
      </rPr>
      <t xml:space="preserve">214 vs 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），均错误。应升级为精确纪年前</t>
    </r>
    <r>
      <rPr>
        <sz val="11"/>
        <color theme="1"/>
        <rFont val="Calibri"/>
        <family val="2"/>
        <charset val="1"/>
      </rPr>
      <t xml:space="preserve">284</t>
    </r>
    <r>
      <rPr>
        <sz val="11"/>
        <color theme="1"/>
        <rFont val="思源黑体"/>
        <family val="2"/>
      </rPr>
      <t xml:space="preserve">年。</t>
    </r>
  </si>
  <si>
    <t xml:space="preserve">秦昭襄王二十九年，白起攻楚，拔楚都郢城，更东至竟陵，置为南郡。楚王被迫东走陈地。白起封为武安君。楚国从此丧失核心领土。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</si>
  <si>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二十九。白起击楚，拔郢，更东至竟陵，以为南郡。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二十一。秦拔我郢，烧夷陵，王亡走陈。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</si>
  <si>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278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</si>
  <si>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278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278</t>
    </r>
    <r>
      <rPr>
        <sz val="11"/>
        <color theme="1"/>
        <rFont val="思源黑体"/>
        <family val="2"/>
      </rPr>
      <t xml:space="preserve">年条记载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秦白起攻楚，拔郢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。应升级为精确纪年。当前被单锚点塌缩到前</t>
    </r>
    <r>
      <rPr>
        <sz val="11"/>
        <color theme="1"/>
        <rFont val="Calibri"/>
        <family val="2"/>
        <charset val="1"/>
      </rPr>
      <t xml:space="preserve">307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思源黑体"/>
        <family val="2"/>
      </rPr>
      <t xml:space="preserve">年。</t>
    </r>
  </si>
  <si>
    <t xml:space="preserve">秦昭襄王四十七年，白起在长平大破赵军，坑杀降卒四十五万。赵国以赵括代廉颇将，导致惨败。这是战国史上最惨烈的战役。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</si>
  <si>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四十七。白起破赵长平，杀卒四十五万。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六。使赵括代廉颇将。白起破括四十五万。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</si>
  <si>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</si>
  <si>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260</t>
    </r>
    <r>
      <rPr>
        <sz val="11"/>
        <color theme="1"/>
        <rFont val="思源黑体"/>
        <family val="2"/>
      </rPr>
      <t xml:space="preserve">年条明确记载长平之战，白起坑杀降兵四十万。概览与详情年份不一致，均错误。应升级为精确纪年。</t>
    </r>
  </si>
  <si>
    <t xml:space="preserve">秦围邯郸，魏公子无忌（信陵君）率军救赵，楚春申君亦救赵，秦兵被迫解围而去。这是合纵抗秦的一次成功战例。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</si>
  <si>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二十。公子无忌救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邯郸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，秦兵解去。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六。春申君救赵。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</si>
  <si>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257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</si>
  <si>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257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257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魏信陵君在邯郸城下大破秦军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。概览与详情年份不一致，均错误。应升级为精确纪年。</t>
    </r>
  </si>
  <si>
    <t xml:space="preserve">秦始皇十七年，内史腾攻击并俘虏韩王安，尽取其地，置颍川郡。韩为六国中第一个被秦灭亡的国家。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</si>
  <si>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十七。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内史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腾击得韩王安，尽取其地，置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颍川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郡。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九。秦虏王安，秦灭韩。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</si>
  <si>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</si>
  <si>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230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秦内史腾灭韩，俘韩王安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。概览与详情年份不一致，均错误。应升级为精确纪年。</t>
    </r>
  </si>
  <si>
    <t xml:space="preserve">秦始皇十九年，王翦攻拔赵国，虏赵王迁于邯郸。赵公子嘉自立为代王，赵国实际灭亡。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</si>
  <si>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十九。王翦拔赵，虏王迁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邯郸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八。秦王翦虏王迁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邯郸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。公子嘉自立为代王。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</si>
  <si>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</si>
  <si>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228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228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王翦破赵军，入邯郸，俘赵王迁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。当前用人物生卒中点前</t>
    </r>
    <r>
      <rPr>
        <sz val="11"/>
        <color theme="1"/>
        <rFont val="Calibri"/>
        <family val="2"/>
        <charset val="1"/>
      </rPr>
      <t xml:space="preserve">248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思源黑体"/>
        <family val="2"/>
      </rPr>
      <t xml:space="preserve">年。应升级为精确纪年。</t>
    </r>
  </si>
  <si>
    <t xml:space="preserve">秦始皇二十年，燕太子丹派荆轲刺杀秦王，被秦王察觉。秦王翦随即率军攻燕。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</si>
  <si>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二十。燕太子使荆轲刺王，觉之。王翦将击燕。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</si>
  <si>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</si>
  <si>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燕王喜二十八年，太子丹派荆轲入秦，刺秦王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。概览与详情年份不一致，均错误。应升级为精确纪年。</t>
    </r>
  </si>
  <si>
    <t xml:space="preserve">秦始皇二十二年，王贲攻魏，俘虏魏王假，尽取其地。魏国灭亡。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</si>
  <si>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二十二。王贲击魏，得其王假，尽取其地。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</si>
  <si>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</si>
  <si>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秦王贲攻魏，魏王假降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。概览与详情年份不一致，均错误。应升级为精确纪年。</t>
    </r>
  </si>
  <si>
    <t xml:space="preserve">秦始皇二十四年，王翦、蒙武破楚军，虏楚王负刍。楚国灭亡。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</si>
  <si>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二十四。王翦、蒙武破楚，虏其王负刍。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</si>
  <si>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</si>
  <si>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223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223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秦王翦、蒙武破寿春，俘楚王负刍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。当前用人物生卒中点前</t>
    </r>
    <r>
      <rPr>
        <sz val="11"/>
        <color theme="1"/>
        <rFont val="Calibri"/>
        <family val="2"/>
        <charset val="1"/>
      </rPr>
      <t xml:space="preserve">248</t>
    </r>
    <r>
      <rPr>
        <sz val="11"/>
        <color theme="1"/>
        <rFont val="思源黑体"/>
        <family val="2"/>
      </rPr>
      <t xml:space="preserve">年，偏差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思源黑体"/>
        <family val="2"/>
      </rPr>
      <t xml:space="preserve">年。应升级为精确纪年。</t>
    </r>
  </si>
  <si>
    <t xml:space="preserve">秦始皇二十五年，王贲攻燕虏燕王喜，又攻取代王嘉。五月天下大酺。燕国和赵代残余势力被彻底消灭。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</si>
  <si>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二十五。王贲击燕，虏王喜。又击得代王嘉。五月，天下大酺。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</si>
  <si>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</si>
  <si>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222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王贲攻辽东，俘燕王喜；王贲攻代，俘代王嘉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。概览与详情年份不一致，均错误。应升级为精确纪年。</t>
    </r>
  </si>
  <si>
    <t xml:space="preserve">秦始皇二十六年，王贲攻齐虏齐王建。秦初并天下，始皇帝称帝。六国至此全部灭亡。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</si>
  <si>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二十六。王贲击齐，虏王建。初并天下，立为皇帝。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</si>
  <si>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</si>
  <si>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标记已含公元前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年，年表前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年条明确记载秦灭齐并天下。概览与详情年份不一致，均错误。应升级为精确纪年。</t>
    </r>
  </si>
  <si>
    <t xml:space="preserve">秦始皇二十七年，更命黄河为「德水」，铸金人十二，命民曰「黔首」，同天下文字，分天下为三十六郡。这是秦统一后推行的一系列标准化制度改革。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</si>
  <si>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二十七更命河为「德水」。为金人十二。命民曰「黔首」。同天下书。分为三十六郡。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</si>
  <si>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</si>
  <si>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年代推断中提到纪年标记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二十七年</t>
    </r>
    <r>
      <rPr>
        <sz val="11"/>
        <color theme="1"/>
        <rFont val="Calibri"/>
        <family val="2"/>
        <charset val="1"/>
      </rPr>
      <t xml:space="preserve">%=</t>
    </r>
    <r>
      <rPr>
        <sz val="11"/>
        <color theme="1"/>
        <rFont val="思源黑体"/>
        <family val="2"/>
      </rPr>
      <t xml:space="preserve">秦始皇二十七年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思源黑体"/>
        <family val="2"/>
      </rPr>
      <t xml:space="preserve">年，但事件描述的核心内容（分三十六郡、命民黔首等）在年表前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年条有记载。然而六国年表原文将此系于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二十七年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条下（前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思源黑体"/>
        <family val="2"/>
      </rPr>
      <t xml:space="preserve">年），应忠于原文系年。当前标注前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思源黑体"/>
        <family val="2"/>
      </rPr>
      <t xml:space="preserve">年正确，但推断理由中应注明与年表前</t>
    </r>
    <r>
      <rPr>
        <sz val="11"/>
        <color theme="1"/>
        <rFont val="Calibri"/>
        <family val="2"/>
        <charset val="1"/>
      </rPr>
      <t xml:space="preserve">221</t>
    </r>
    <r>
      <rPr>
        <sz val="11"/>
        <color theme="1"/>
        <rFont val="思源黑体"/>
        <family val="2"/>
      </rPr>
      <t xml:space="preserve">年条的矛盾。无需修改年份</t>
    </r>
  </si>
  <si>
    <t xml:space="preserve">秦始皇三十三年，遣诸逋亡及商人等略取南方陆梁地，设桂林、南海、象郡。同时在西北取戎地为三十四县，筑长城于黄河沿线，蒙恬将兵三十万。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</si>
  <si>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三十三遣诸逋亡及贾人赘婿略取陆梁，为桂林、南海、象郡……筑长城河上，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蒙恬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将三十万。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</si>
  <si>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214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</si>
  <si>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原文记载三十三年，即公元前</t>
    </r>
    <r>
      <rPr>
        <sz val="11"/>
        <color theme="1"/>
        <rFont val="Calibri"/>
        <family val="2"/>
        <charset val="1"/>
      </rPr>
      <t xml:space="preserve">214</t>
    </r>
    <r>
      <rPr>
        <sz val="11"/>
        <color theme="1"/>
        <rFont val="思源黑体"/>
        <family val="2"/>
      </rPr>
      <t xml:space="preserve">年</t>
    </r>
  </si>
  <si>
    <t xml:space="preserve">秦始皇三十七年，帝巡游会稽、琅邪，还至沙丘崩逝。子胡亥即位为二世皇帝，杀蒙恬。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</si>
  <si>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三十七十月，帝之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会稽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、琅邪，还至沙丘崩。子胡亥立，为二世皇帝。杀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蒙恬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</si>
  <si>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210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</si>
  <si>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原文记载三十七年，即公元前</t>
    </r>
    <r>
      <rPr>
        <sz val="11"/>
        <color theme="1"/>
        <rFont val="Calibri"/>
        <family val="2"/>
        <charset val="1"/>
      </rPr>
      <t xml:space="preserve">210</t>
    </r>
    <r>
      <rPr>
        <sz val="11"/>
        <color theme="1"/>
        <rFont val="思源黑体"/>
        <family val="2"/>
      </rPr>
      <t xml:space="preserve">年</t>
    </r>
  </si>
  <si>
    <t xml:space="preserve">二世元年九月，郡县皆起兵反秦。楚兵至戏，章邯击退之。秦朝统治动摇。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</si>
  <si>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二世元年……其九月，郡县皆反。楚兵至戏，章邯击却之。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</si>
  <si>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</si>
  <si>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原文记载二世元年，即公元前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</t>
    </r>
  </si>
  <si>
    <t xml:space="preserve">二世三年，赵高谋反，二世自杀。赵高立二世兄子婴为王。子婴即位后刺杀赵高，夷其三族。诸侯入秦，子婴降。后为项羽所杀。天下归属于汉。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</si>
  <si>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赵高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反，二世自杀，高立二世兄子婴。子婴立，剌杀高，夷三族。诸侯入秦，婴降，为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所杀。寻诛羽，天下属汉。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</si>
  <si>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</si>
  <si>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原文纪年标记对应公元前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</t>
    </r>
  </si>
  <si>
    <t xml:space="preserve">秦二世元年七月，陈涉起兵反秦入关。太史公论：初作难发于陈涉，虐戾灭秦自项氏，拨乱诛暴成于汉家。五年之间号令三嬗，自生民以来未始有受命若斯之亟也。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</si>
  <si>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初作难，发於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陈涉</t>
    </r>
    <r>
      <rPr>
        <sz val="11"/>
        <color theme="1"/>
        <rFont val="Calibri"/>
        <family val="2"/>
        <charset val="1"/>
      </rPr>
      <t xml:space="preserve">@""</t>
    </r>
    <r>
      <rPr>
        <sz val="11"/>
        <color theme="1"/>
        <rFont val="思源黑体"/>
        <family val="2"/>
      </rPr>
      <t xml:space="preserve">楚隐王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陈涉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起兵入秦。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</si>
  <si>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[1.1]</t>
    </r>
    <r>
      <rPr>
        <sz val="11"/>
        <color theme="1"/>
        <rFont val="思源黑体"/>
        <family val="2"/>
      </rPr>
      <t xml:space="preserve">、表（前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年七月）</t>
    </r>
  </si>
  <si>
    <r>
      <rPr>
        <sz val="11"/>
        <color theme="1"/>
        <rFont val="思源黑体"/>
        <family val="2"/>
      </rPr>
      <t xml:space="preserve">原文记载二世元年七月，即公元前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</t>
    </r>
  </si>
  <si>
    <t xml:space="preserve">陈涉起兵后，项梁在九月起兵响应，号武信君。陈涉部将召平矫拜项梁为楚柱国，令其急西击秦。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</si>
  <si>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项梁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号武信君。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涉将召平矫拜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为楚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柱国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，急西击秦。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</si>
  <si>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年九月）</t>
    </r>
  </si>
  <si>
    <r>
      <rPr>
        <sz val="11"/>
        <color theme="1"/>
        <rFont val="思源黑体"/>
        <family val="2"/>
      </rPr>
      <t xml:space="preserve">原文记载二世元年九月，即公元前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</t>
    </r>
  </si>
  <si>
    <t xml:space="preserve">秦二世元年九月，沛公（刘邦）初起兵反秦，开始了其争夺天下之路。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</si>
  <si>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沛公初起。</t>
    </r>
    <r>
      <rPr>
        <sz val="11"/>
        <color theme="1"/>
        <rFont val="Calibri"/>
        <family val="2"/>
        <charset val="1"/>
      </rPr>
      <t xml:space="preserve">"</t>
    </r>
  </si>
  <si>
    <t xml:space="preserve">秦二世元年八月，武臣抵达邯郸后自立为赵王。反秦诸侯纷纷自立的格局由此展开。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</si>
  <si>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武臣始至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邯郸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，自立为赵王，始。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</si>
  <si>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年八月）</t>
    </r>
  </si>
  <si>
    <r>
      <rPr>
        <sz val="11"/>
        <color theme="1"/>
        <rFont val="思源黑体"/>
        <family val="2"/>
      </rPr>
      <t xml:space="preserve">原文记载二世元年八月，即公元前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</t>
    </r>
  </si>
  <si>
    <t xml:space="preserve">二世元年十二月，首义领袖陈涉被杀。此前其部将周文兵至戏而败死，葛婴亦被诛。陈涉虽败亡，但其点燃的反秦烈火已不可扑灭。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</si>
  <si>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六。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陈涉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死。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</si>
  <si>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年十二月）</t>
    </r>
  </si>
  <si>
    <r>
      <rPr>
        <sz val="11"/>
        <color theme="1"/>
        <rFont val="思源黑体"/>
        <family val="2"/>
      </rPr>
      <t xml:space="preserve">秦历以十月为岁首，二世元年十二月按公历已入前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年。年表在前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年条明确记载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陈胜被御者庄贾杀害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，事件索引段落位置亦标注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年十二月）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，与概览表的前</t>
    </r>
    <r>
      <rPr>
        <sz val="11"/>
        <color theme="1"/>
        <rFont val="Calibri"/>
        <family val="2"/>
        <charset val="1"/>
      </rPr>
      <t xml:space="preserve">209</t>
    </r>
    <r>
      <rPr>
        <sz val="11"/>
        <color theme="1"/>
        <rFont val="思源黑体"/>
        <family val="2"/>
      </rPr>
      <t xml:space="preserve">年矛盾。应以年表为准改为前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年。</t>
    </r>
  </si>
  <si>
    <t xml:space="preserve">项梁寻得故楚怀王之孙于民间，立为楚王（义帝），都盱台。沛公亦如薛共立楚怀王。此举以恢复楚国号召反秦力量。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</si>
  <si>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楚怀王始，都盱台，故怀王孙，梁立之。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</si>
  <si>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年六月）</t>
    </r>
  </si>
  <si>
    <r>
      <rPr>
        <sz val="11"/>
        <color theme="1"/>
        <rFont val="思源黑体"/>
        <family val="2"/>
      </rPr>
      <t xml:space="preserve">原文记载二世二年六月，即公元前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</t>
    </r>
  </si>
  <si>
    <t xml:space="preserve">章邯在定陶破杀项梁。项羽恐惧，还军彭城。楚都徙至彭城。项梁之死是楚军的重大挫折，也促使项羽崛起。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</si>
  <si>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十三。章邯破杀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于定陶，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恐，还军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彭城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</si>
  <si>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年九月）</t>
    </r>
  </si>
  <si>
    <r>
      <rPr>
        <sz val="11"/>
        <color theme="1"/>
        <rFont val="思源黑体"/>
        <family val="2"/>
      </rPr>
      <t xml:space="preserve">原文记载二世二年九月，即公元前</t>
    </r>
    <r>
      <rPr>
        <sz val="11"/>
        <color theme="1"/>
        <rFont val="Calibri"/>
        <family val="2"/>
        <charset val="1"/>
      </rPr>
      <t xml:space="preserve">208</t>
    </r>
    <r>
      <rPr>
        <sz val="11"/>
        <color theme="1"/>
        <rFont val="思源黑体"/>
        <family val="2"/>
      </rPr>
      <t xml:space="preserve">年</t>
    </r>
  </si>
  <si>
    <t xml:space="preserve">楚怀王拜宋义为上将军，项羽为次将北救赵。十一月项羽矫诏杀宋义，自将其兵渡河救巨鹿。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</si>
  <si>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三。羽矫杀宋义，将其兵渡河救巨鹿。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</si>
  <si>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年十一月）</t>
    </r>
  </si>
  <si>
    <r>
      <rPr>
        <sz val="11"/>
        <color theme="1"/>
        <rFont val="思源黑体"/>
        <family val="2"/>
      </rPr>
      <t xml:space="preserve">原文记载二世三年十一月，即公元前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</t>
    </r>
  </si>
  <si>
    <t xml:space="preserve">项羽在巨鹿大破秦军，俘虏秦将王离，诸侯将皆归属项羽。此战奠定了项羽的霸主地位。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</si>
  <si>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四。大破秦军巨鹿下，诸侯将皆属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五。虏秦将王离。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</si>
  <si>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年十二月至端月）</t>
    </r>
  </si>
  <si>
    <r>
      <rPr>
        <sz val="11"/>
        <color theme="1"/>
        <rFont val="思源黑体"/>
        <family val="2"/>
      </rPr>
      <t xml:space="preserve">原文记载二世三年十二月，即公元前</t>
    </r>
    <r>
      <rPr>
        <sz val="11"/>
        <color theme="1"/>
        <rFont val="Calibri"/>
        <family val="2"/>
        <charset val="1"/>
      </rPr>
      <t xml:space="preserve">207</t>
    </r>
    <r>
      <rPr>
        <sz val="11"/>
        <color theme="1"/>
        <rFont val="思源黑体"/>
        <family val="2"/>
      </rPr>
      <t xml:space="preserve">年</t>
    </r>
  </si>
  <si>
    <t xml:space="preserve">汉元年十月，秦王子婴投降，沛公入破咸阳，平定秦国，还军霸上以待诸侯之约。随后出令约法三章，秦民大悦。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</si>
  <si>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二十七。汉元年，秦王子婴降。沛公入破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咸阳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，平秦，还军霸上，待诸侯约。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二十八。沛公出令三章，秦民大悦。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</si>
  <si>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年十月至十一月）</t>
    </r>
  </si>
  <si>
    <r>
      <rPr>
        <sz val="11"/>
        <color theme="1"/>
        <rFont val="思源黑体"/>
        <family val="2"/>
      </rPr>
      <t xml:space="preserve">原文记载汉元年十月，即公元前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</t>
    </r>
  </si>
  <si>
    <t xml:space="preserve">项羽率诸侯兵西行至河南，在新安诈坑秦降卒二十万人。此举震慑天下，也为项羽埋下日后失败的隐患。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</si>
  <si>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十五。羽诈阬杀秦降卒二十万人于新安。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</si>
  <si>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年十一月）</t>
    </r>
  </si>
  <si>
    <r>
      <rPr>
        <sz val="11"/>
        <color theme="1"/>
        <rFont val="思源黑体"/>
        <family val="2"/>
      </rPr>
      <t xml:space="preserve">原文记载汉元年十一月，即公元前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</t>
    </r>
  </si>
  <si>
    <t xml:space="preserve">项羽至关中，诛秦王子婴，屠烧咸阳。分天下，立十八路诸侯。自立为西楚霸王。尊怀王为义帝，徙都江南郴。分关中为汉、雍、塞、翟四国。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</si>
  <si>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十六。至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关中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，诛秦王子婴，屠烧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咸阳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。分天下，立诸侯。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项籍自立为西楚霸王。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</si>
  <si>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年十二月）</t>
    </r>
  </si>
  <si>
    <r>
      <rPr>
        <sz val="11"/>
        <color theme="1"/>
        <rFont val="思源黑体"/>
        <family val="2"/>
      </rPr>
      <t xml:space="preserve">原文记载汉元年十二月，即公元前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</t>
    </r>
  </si>
  <si>
    <t xml:space="preserve">汉二年，项羽命人弑杀义帝（楚怀王）。此举使项羽失去政治合法性，成为汉王讨伐项羽的重要口实。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</si>
  <si>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十。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灭义帝。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</si>
  <si>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</si>
  <si>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原文记载汉二年十月，即公元前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</t>
    </r>
  </si>
  <si>
    <t xml:space="preserve">汉二年四月，汉王联合诸侯东伐楚，进至彭城，但随后被项羽击溃。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</si>
  <si>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四月。王伐楚至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彭城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，坏走。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</si>
  <si>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年四月）</t>
    </r>
  </si>
  <si>
    <r>
      <rPr>
        <sz val="11"/>
        <color theme="1"/>
        <rFont val="思源黑体"/>
        <family val="2"/>
      </rPr>
      <t xml:space="preserve">原文记载汉二年四月，即公元前</t>
    </r>
    <r>
      <rPr>
        <sz val="11"/>
        <color theme="1"/>
        <rFont val="Calibri"/>
        <family val="2"/>
        <charset val="1"/>
      </rPr>
      <t xml:space="preserve">205</t>
    </r>
    <r>
      <rPr>
        <sz val="11"/>
        <color theme="1"/>
        <rFont val="思源黑体"/>
        <family val="2"/>
      </rPr>
      <t xml:space="preserve">年</t>
    </r>
  </si>
  <si>
    <t xml:space="preserve">项羽以精兵三万人大破汉军五十六万。此役是楚汉战争中汉王的最大败仗，汉王被迫西走荥阳。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</si>
  <si>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三。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项羽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以兵三万破汉兵五十六万。</t>
    </r>
    <r>
      <rPr>
        <sz val="11"/>
        <color theme="1"/>
        <rFont val="Calibri"/>
        <family val="2"/>
        <charset val="1"/>
      </rPr>
      <t xml:space="preserve">"</t>
    </r>
  </si>
  <si>
    <t xml:space="preserve">汉三年，汉将韩信斩赵国丞相陈余，赵王歇被灭。赵、代之地归于汉，为汉郡。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</si>
  <si>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十二。汉将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斩陈余。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四十八。汉灭歇。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</si>
  <si>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</si>
  <si>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原文记载汉三年，即公元前</t>
    </r>
    <r>
      <rPr>
        <sz val="11"/>
        <color theme="1"/>
        <rFont val="Calibri"/>
        <family val="2"/>
        <charset val="1"/>
      </rPr>
      <t xml:space="preserve">204</t>
    </r>
    <r>
      <rPr>
        <sz val="11"/>
        <color theme="1"/>
        <rFont val="思源黑体"/>
        <family val="2"/>
      </rPr>
      <t xml:space="preserve">年</t>
    </r>
  </si>
  <si>
    <t xml:space="preserve">汉四年，汉将韩信击破楚将龙且并杀之，齐王田广亦被击杀。齐地归汉。韩信被立为齐王。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</si>
  <si>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十一。汉将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破杀龙且。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二十一。汉将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击杀广。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</si>
  <si>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203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</si>
  <si>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原文记载汉四年，即公元前</t>
    </r>
    <r>
      <rPr>
        <sz val="11"/>
        <color theme="1"/>
        <rFont val="Calibri"/>
        <family val="2"/>
        <charset val="1"/>
      </rPr>
      <t xml:space="preserve">203</t>
    </r>
    <r>
      <rPr>
        <sz val="11"/>
        <color theme="1"/>
        <rFont val="思源黑体"/>
        <family val="2"/>
      </rPr>
      <t xml:space="preserve">年</t>
    </r>
  </si>
  <si>
    <t xml:space="preserve">汉五年十二月，项羽被诛杀，天下平定。诸侯臣属于汉。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</si>
  <si>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十二。诛籍。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正月。。杀项籍，天下平，诸侯臣属汉。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</si>
  <si>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年十二月至正月）</t>
    </r>
  </si>
  <si>
    <r>
      <rPr>
        <sz val="11"/>
        <color theme="1"/>
        <rFont val="思源黑体"/>
        <family val="2"/>
      </rPr>
      <t xml:space="preserve">原文记载汉五年十二月，即公元前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</t>
    </r>
  </si>
  <si>
    <t xml:space="preserve">汉五年二月甲午日，汉王更号，即皇帝位于定陶。汉朝正式建立。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</si>
  <si>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二月。甲午，王更号，即皇帝位于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定陶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</si>
  <si>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年二月）</t>
    </r>
  </si>
  <si>
    <r>
      <rPr>
        <sz val="11"/>
        <color theme="1"/>
        <rFont val="思源黑体"/>
        <family val="2"/>
      </rPr>
      <t xml:space="preserve">原文纪年标记对应公元前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</t>
    </r>
  </si>
  <si>
    <t xml:space="preserve">太史公论述古代封建制度。周封五等爵位：公、侯、伯、子、男。封伯禽、康叔于鲁、卫各四百里；太公于齐兼五侯之地。武王、成王、康王所封诸侯数百，同姓五十五国，以辅卫王室。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</si>
  <si>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周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封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五等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公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侯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伯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子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男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。然封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伯禽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康叔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於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卫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，地各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四百里</t>
    </r>
    <r>
      <rPr>
        <sz val="11"/>
        <color theme="1"/>
        <rFont val="Calibri"/>
        <family val="2"/>
        <charset val="1"/>
      </rPr>
      <t xml:space="preserve">%"</t>
    </r>
  </si>
  <si>
    <t xml:space="preserve">[1.2]-[1.4]</t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</si>
  <si>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1046</t>
    </r>
    <r>
      <rPr>
        <sz val="11"/>
        <color theme="1"/>
        <rFont val="思源黑体"/>
        <family val="2"/>
      </rPr>
      <t xml:space="preserve">年条明确记载武王克商后大封同姓及功臣为诸侯，可从推断标注升级为精确标注</t>
    </r>
  </si>
  <si>
    <t xml:space="preserve">汉兴后，高祖子弟同姓为王者九国，虽独长沙为异姓王，功臣侯者百有余人。大者五六郡、连城数十，置百官宫观，僭于天子。汉朝仅有十五郡直辖。天下初定，广封庶孽以镇抚四海、承卫天子。</t>
  </si>
  <si>
    <r>
      <rPr>
        <sz val="11"/>
        <color theme="1"/>
        <rFont val="Calibri"/>
        <family val="2"/>
        <charset val="1"/>
      </rPr>
      <t xml:space="preserve">"$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子弟同姓为王者九国，虽独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长沙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异姓，而功臣侯者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百有馀人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</si>
  <si>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年（高祖六年）条：封同姓王，刘交为楚王、刘肥为齐王等，此为大规模分封同姓之始</t>
    </r>
  </si>
  <si>
    <t xml:space="preserve">高祖末年立下盟约：非刘氏而称王者，若无功而被封侯者，天下共诛之。这一盟约确立了汉朝同姓封王的基本国策。</t>
  </si>
  <si>
    <r>
      <rPr>
        <sz val="11"/>
        <color theme="1"/>
        <rFont val="Calibri"/>
        <family val="2"/>
        <charset val="1"/>
      </rPr>
      <t xml:space="preserve">"$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末年，非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刘氏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而王者，若无功上所不置而侯者，天下共诛之。</t>
    </r>
    <r>
      <rPr>
        <sz val="11"/>
        <color theme="1"/>
        <rFont val="Calibri"/>
        <family val="2"/>
        <charset val="1"/>
      </rPr>
      <t xml:space="preserve">"</t>
    </r>
  </si>
  <si>
    <t xml:space="preserve">[2.2]</t>
  </si>
  <si>
    <r>
      <rPr>
        <sz val="11"/>
        <color theme="1"/>
        <rFont val="思源黑体"/>
        <family val="2"/>
      </rPr>
      <t xml:space="preserve">原文明言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高祖末年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。高祖死于前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年（高祖十二年），白马之盟当在此年或稍前</t>
    </r>
  </si>
  <si>
    <t xml:space="preserve">汉定百年之间，亲属益疏，诸侯或骄奢，邪臣计谋为淫乱。大者叛逆，小者不轨于法，以致殒身亡国。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</si>
  <si>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汉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百年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之间，亲属益疏，诸侯或骄奢，忕邪臣计谋为淫乱，大者叛逆，小者不轨于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法</t>
    </r>
    <r>
      <rPr>
        <sz val="11"/>
        <color theme="1"/>
        <rFont val="Calibri"/>
        <family val="2"/>
        <charset val="1"/>
      </rPr>
      <t xml:space="preserve">^"</t>
    </r>
  </si>
  <si>
    <r>
      <rPr>
        <sz val="11"/>
        <color theme="1"/>
        <rFont val="思源黑体"/>
        <family val="2"/>
      </rPr>
      <t xml:space="preserve">综述性论断，概括从七国之乱（前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年）到推恩令（前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年）间诸侯违法现象。原文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汉定百年之间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指汉建国（前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年）后约百年</t>
    </r>
  </si>
  <si>
    <t xml:space="preserve">天子观于上古后加惠，使诸侯得推恩分子弟为国邑。齐分为七，赵分为六，梁分为五，淮南分为三。诸侯稍微，大国不过十余城，小侯不过数十里。汉郡八九十，形错诸侯间，强本弱枝。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</si>
  <si>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天子观於上古，然後加惠，使诸侯得推恩分子弟国邑，故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齐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分为七，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赵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分为六，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分为五，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淮南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分三</t>
    </r>
    <r>
      <rPr>
        <sz val="11"/>
        <color theme="1"/>
        <rFont val="Calibri"/>
        <family val="2"/>
        <charset val="1"/>
      </rPr>
      <t xml:space="preserve">"</t>
    </r>
  </si>
  <si>
    <t xml:space="preserve">[3.2]</t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</si>
  <si>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年（元朔二年）条：用主父偃策，下推恩令，令诸侯得分地给子弟为侯</t>
    </r>
  </si>
  <si>
    <t xml:space="preserve">吴楚之时，前后诸侯或因过失被削地。燕代无北边郡，吴淮南长沙无南边郡，齐赵梁楚支郡名山陂海咸纳于汉。此为推恩削藩的重要背景。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</si>
  <si>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吴</t>
    </r>
    <r>
      <rPr>
        <sz val="11"/>
        <color theme="1"/>
        <rFont val="Calibri"/>
        <family val="2"/>
        <charset val="1"/>
      </rPr>
      <t xml:space="preserve">&amp;&amp;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时，前後诸侯或以適削地，是以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燕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代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无北边郡，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淮南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长沙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无南边郡</t>
    </r>
    <r>
      <rPr>
        <sz val="11"/>
        <color theme="1"/>
        <rFont val="Calibri"/>
        <family val="2"/>
        <charset val="1"/>
      </rPr>
      <t xml:space="preserve">"</t>
    </r>
  </si>
  <si>
    <t xml:space="preserve">[3.3]</t>
  </si>
  <si>
    <r>
      <rPr>
        <sz val="11"/>
        <color theme="1"/>
        <rFont val="思源黑体"/>
        <family val="2"/>
      </rPr>
      <t xml:space="preserve">原文记载景帝三年，即公元前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</t>
    </r>
  </si>
  <si>
    <r>
      <rPr>
        <sz val="11"/>
        <color theme="1"/>
        <rFont val="思源黑体"/>
        <family val="2"/>
      </rPr>
      <t xml:space="preserve">淮南王英布（黥布）于高祖十一年见韩信、彭越被诛后举兵反叛，高祖十二年（前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年）兵败被杀。其国除为郡，后立高祖子长为淮南王。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</si>
  <si>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七。来朝。反，诛。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</si>
  <si>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</si>
  <si>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年（高祖十一年）条：淮南王黥布见韩信、彭越死，举兵反。前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年兵败被杀。原表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七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为英布为淮南王第七年（前</t>
    </r>
    <r>
      <rPr>
        <sz val="11"/>
        <color theme="1"/>
        <rFont val="Calibri"/>
        <family val="2"/>
        <charset val="1"/>
      </rPr>
      <t xml:space="preserve">203</t>
    </r>
    <r>
      <rPr>
        <sz val="11"/>
        <color theme="1"/>
        <rFont val="思源黑体"/>
        <family val="2"/>
      </rPr>
      <t xml:space="preserve">年封，第七年即前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年），非高祖七年</t>
    </r>
  </si>
  <si>
    <t xml:space="preserve">梁王彭越于高祖十一年被告谋反，高祖捕而诛之。梁国除后改封高祖子恢为梁王。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</si>
  <si>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六。来朝。反，诛。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</si>
  <si>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年（高祖十一年）条：高祖杀彭越。原表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六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为彭越为梁王第六年（前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年封，第六年即前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年），非高祖六年</t>
    </r>
  </si>
  <si>
    <t xml:space="preserve">高后八年，大臣诛灭诸吕。吕产、吕禄等被诛，吕氏所封诸侯王国皆除。代王（后来的文帝）被迎立为帝。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</si>
  <si>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初王吕禄元年。吕后兄子，胡陵侯。诛，国除。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五。非子，诛，国除为郡。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</si>
  <si>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</si>
  <si>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原文记载高后八年，即公元前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</t>
    </r>
  </si>
  <si>
    <t xml:space="preserve">文帝六年，淮南厉王因无道被迁至蜀地，途中死于雍。其国除为郡。这是汉朝惩治不法诸侯的典型案例。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</si>
  <si>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二十三。王无道，迁蜀，死雍，为郡。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</si>
  <si>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174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</si>
  <si>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原文记载文帝六年，即公元前</t>
    </r>
    <r>
      <rPr>
        <sz val="11"/>
        <color theme="1"/>
        <rFont val="Calibri"/>
        <family val="2"/>
        <charset val="1"/>
      </rPr>
      <t xml:space="preserve">174</t>
    </r>
    <r>
      <rPr>
        <sz val="11"/>
        <color theme="1"/>
        <rFont val="思源黑体"/>
        <family val="2"/>
      </rPr>
      <t xml:space="preserve">年</t>
    </r>
  </si>
  <si>
    <t xml:space="preserve">景帝三年，吴王濞联合楚王戊及其他诸侯反叛，被镇压诛杀。吴楚之乱是汉朝削藩引发的最大规模叛乱，此后诸侯权势大为削弱。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</si>
  <si>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二十一。反，诛。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四十二。反，诛。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</si>
  <si>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</si>
  <si>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原文纪年标记对应公元前</t>
    </r>
    <r>
      <rPr>
        <sz val="11"/>
        <color theme="1"/>
        <rFont val="Calibri"/>
        <family val="2"/>
        <charset val="1"/>
      </rPr>
      <t xml:space="preserve">154</t>
    </r>
    <r>
      <rPr>
        <sz val="11"/>
        <color theme="1"/>
        <rFont val="思源黑体"/>
        <family val="2"/>
      </rPr>
      <t xml:space="preserve">年</t>
    </r>
  </si>
  <si>
    <t xml:space="preserve">太史公论功臣五品：以德立宗庙定社稷曰勋，以言曰劳，用力曰功，明其等曰伐，积日曰阅。封爵之誓曰：「使河如带，泰山若厉。国以永宁，爰及苗裔。」始初未尝不欲固根本，而枝叶渐渐衰微。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</si>
  <si>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封爵之誓曰：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使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如带，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泰山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若厉。国以永宁，爰及苗裔。</t>
    </r>
    <r>
      <rPr>
        <sz val="11"/>
        <color theme="1"/>
        <rFont val="Calibri"/>
        <family val="2"/>
        <charset val="1"/>
      </rPr>
      <t xml:space="preserve">""</t>
    </r>
  </si>
  <si>
    <t xml:space="preserve">[1.1]-[1.3]</t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</si>
  <si>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年（高祖六年）明确记载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封诸功臣为侯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，封爵之誓即在此次大封功臣之际立下，可从推断标注升级为精确标注</t>
    </r>
  </si>
  <si>
    <t xml:space="preserve">汉兴之初，功臣受封百有余人。天下初定，大城名都散亡，户口十存二三。大侯不过万家，小者五六百户。后数世民咸归乡里，萧、曹、绛、灌之属或至四万户。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</si>
  <si>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汉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兴，功臣受封者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百有馀人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。天下初定，故大城名都散亡，户口可得而数者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十二三</t>
    </r>
    <r>
      <rPr>
        <sz val="11"/>
        <color theme="1"/>
        <rFont val="Calibri"/>
        <family val="2"/>
        <charset val="1"/>
      </rPr>
      <t xml:space="preserve">%"</t>
    </r>
  </si>
  <si>
    <t xml:space="preserve">[3.1]-[3.3]</t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</si>
  <si>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年（高祖六年）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封诸功臣为侯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，大规模封侯集中在此年；前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年高祖称帝后即开始封赏，前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年正月正式大封</t>
    </r>
  </si>
  <si>
    <t xml:space="preserve">数世之后，萧何、曹参、绛侯周勃、灌婴的后代封邑或至四万户，小侯亦自倍。然而子孙骄溢，忘其先祖之德，沉湎淫嬖。至太初百年之间，仅存侯五家，其余皆坐法殒命亡国。</t>
  </si>
  <si>
    <r>
      <rPr>
        <sz val="11"/>
        <color theme="1"/>
        <rFont val="Calibri"/>
        <family val="2"/>
        <charset val="1"/>
      </rPr>
      <t xml:space="preserve">"@</t>
    </r>
    <r>
      <rPr>
        <sz val="11"/>
        <color theme="1"/>
        <rFont val="思源黑体"/>
        <family val="2"/>
      </rPr>
      <t xml:space="preserve">萧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曹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绛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灌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之属或至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四万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，小侯自倍，富厚如之。子孙骄溢，忘其先，淫嬖。</t>
    </r>
    <r>
      <rPr>
        <sz val="11"/>
        <color theme="1"/>
        <rFont val="Calibri"/>
        <family val="2"/>
        <charset val="1"/>
      </rPr>
      <t xml:space="preserve">"</t>
    </r>
  </si>
  <si>
    <t xml:space="preserve">[3.3]-[3.5]</t>
  </si>
  <si>
    <r>
      <rPr>
        <sz val="11"/>
        <color theme="1"/>
        <rFont val="思源黑体"/>
        <family val="2"/>
      </rPr>
      <t xml:space="preserve">此为太史公回顾性叙述，描述封侯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数世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后子孙富厚至骄溢的过程，时间跨度从汉初至太初（前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年），富厚鼎盛期约在景帝至武帝初年（前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年）。原标注前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年系单锚点塌缩错误</t>
    </r>
  </si>
  <si>
    <t xml:space="preserve">至太初年间（约百年），高祖所封功臣侯仅存五家，其余皆因违法而殒命亡国。网罗也渐渐缜密，然皆是功臣后代自身不能谨守当世之禁。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</si>
  <si>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太初百年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之间，见侯五，馀皆坐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法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陨命亡国，秏矣。</t>
    </r>
    <r>
      <rPr>
        <sz val="11"/>
        <color theme="1"/>
        <rFont val="Calibri"/>
        <family val="2"/>
        <charset val="1"/>
      </rPr>
      <t xml:space="preserve">"</t>
    </r>
  </si>
  <si>
    <t xml:space="preserve">[3.5]</t>
  </si>
  <si>
    <r>
      <rPr>
        <sz val="11"/>
        <color theme="1"/>
        <rFont val="思源黑体"/>
        <family val="2"/>
      </rPr>
      <t xml:space="preserve">太初为武帝年号，太初元年即前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百年之间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指从汉兴（前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年）至太初（前</t>
    </r>
    <r>
      <rPr>
        <sz val="11"/>
        <color theme="1"/>
        <rFont val="Calibri"/>
        <family val="2"/>
        <charset val="1"/>
      </rPr>
      <t xml:space="preserve">104</t>
    </r>
    <r>
      <rPr>
        <sz val="11"/>
        <color theme="1"/>
        <rFont val="思源黑体"/>
        <family val="2"/>
      </rPr>
      <t xml:space="preserve">年）约百年。原标注前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年系严重的单锚点塌缩错误，将太初年号误锚定到高祖时期</t>
    </r>
  </si>
  <si>
    <t xml:space="preserve">淮阴侯韩信，原以卒从项梁，后归汉为连敖，经萧何推荐为大将军。别定魏、齐，为王；徙楚后因擅发兵被废为淮阴侯。高祖十一年谋反关中，吕后诛信，夷三族，国除。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</si>
  <si>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五。六年四月，侯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韩信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元年。十一年，信谋反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关中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，吕后诛信，夷三族，国除。</t>
    </r>
    <r>
      <rPr>
        <sz val="11"/>
        <color theme="1"/>
        <rFont val="Calibri"/>
        <family val="2"/>
        <charset val="1"/>
      </rPr>
      <t xml:space="preserve">"</t>
    </r>
  </si>
  <si>
    <t xml:space="preserve">表（淮阴条目）</t>
  </si>
  <si>
    <r>
      <rPr>
        <sz val="11"/>
        <color theme="1"/>
        <rFont val="思源黑体"/>
        <family val="2"/>
      </rPr>
      <t xml:space="preserve">原文记载高祖十一年，即公元前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思源黑体"/>
        <family val="2"/>
      </rPr>
      <t xml:space="preserve">年</t>
    </r>
  </si>
  <si>
    <t xml:space="preserve">陈豨以特将起于宛朐，封为阳夏侯。高祖十年八月，以赵相国将兵守代，被汉使召而反叛，与王黄等略代地自立为王。后被汉军杀于灵丘。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</si>
  <si>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十年，八月，豨以赵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相国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将兵守代。汉使召豨，豨反，以其兵与王黄等略代，自立为王。汉杀豨灵丘。</t>
    </r>
    <r>
      <rPr>
        <sz val="11"/>
        <color theme="1"/>
        <rFont val="Calibri"/>
        <family val="2"/>
        <charset val="1"/>
      </rPr>
      <t xml:space="preserve">"</t>
    </r>
  </si>
  <si>
    <t xml:space="preserve">表（阳夏条目）</t>
  </si>
  <si>
    <r>
      <rPr>
        <sz val="11"/>
        <color theme="1"/>
        <rFont val="思源黑体"/>
        <family val="2"/>
      </rPr>
      <t xml:space="preserve">原文记载高祖十年，即公元前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思源黑体"/>
        <family val="2"/>
      </rPr>
      <t xml:space="preserve">年</t>
    </r>
  </si>
  <si>
    <t xml:space="preserve">张良以厩将从起下邳，以韩申徒下韩国。常为汉王计谋平天下，解鸿门之危，为汉王请汉中地，封留侯，食邑万户。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</si>
  <si>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以厩将从起下邳……常计谋平天下，侯，万户。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六年正月丙午，文成侯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张良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。元年。</t>
    </r>
    <r>
      <rPr>
        <sz val="11"/>
        <color theme="1"/>
        <rFont val="Calibri"/>
        <family val="2"/>
        <charset val="1"/>
      </rPr>
      <t xml:space="preserve">"</t>
    </r>
  </si>
  <si>
    <t xml:space="preserve">表（留条目）</t>
  </si>
  <si>
    <r>
      <rPr>
        <sz val="11"/>
        <color theme="1"/>
        <rFont val="思源黑体"/>
        <family val="2"/>
      </rPr>
      <t xml:space="preserve">原文明确记载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六年正月丙午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封侯，即高祖六年（前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年）正月。据《中国历史大事年表》前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年大规模封功臣为侯。原标注前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思源黑体"/>
        <family val="2"/>
      </rPr>
      <t xml:space="preserve">年系插值错误</t>
    </r>
  </si>
  <si>
    <t xml:space="preserve">萧何以客初起从入汉，为丞相，备守蜀及关中，给军食，佐上定诸侯，为法令，立宗庙。封酂侯八千户。为丞相、相国。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</si>
  <si>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以客初起从入汉，为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，备守蜀及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关中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，给军食，佐上定诸侯，为法令，立宗庙，侯，八千户。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</si>
  <si>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表（酂条目）</t>
  </si>
  <si>
    <r>
      <rPr>
        <sz val="11"/>
        <color theme="1"/>
        <rFont val="思源黑体"/>
        <family val="2"/>
      </rPr>
      <t xml:space="preserve">萧何封酂侯在高祖六年（前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年）大封功臣时。据《中国历史大事年表》前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思源黑体"/>
        <family val="2"/>
      </rPr>
      <t xml:space="preserve">年（高祖九年）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以丞相萧何为相国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。原标注前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思源黑体"/>
        <family val="2"/>
      </rPr>
      <t xml:space="preserve">年系插值错误，混淆了封侯与任相国的时间</t>
    </r>
  </si>
  <si>
    <t xml:space="preserve">曹参以中涓从起沛，至霸上为侯。以将军入汉，出征齐、魏，以右丞相为平阳侯，食邑万六百户。惠帝二年为相国。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</si>
  <si>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以中涓从起沛，至霸上，侯。以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入汉，以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左丞相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出征齐、魏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其二年为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相国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</si>
  <si>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表（平阳条目）</t>
  </si>
  <si>
    <r>
      <rPr>
        <sz val="11"/>
        <color theme="1"/>
        <rFont val="思源黑体"/>
        <family val="2"/>
      </rPr>
      <t xml:space="preserve">原文记载惠帝二年，即公元前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思源黑体"/>
        <family val="2"/>
      </rPr>
      <t xml:space="preserve">年</t>
    </r>
  </si>
  <si>
    <t xml:space="preserve">绛侯周勃以中涓从起沛，为将军入汉，定陇西、击项羽，守峣关，定泗水东海。食邑八千一百户。高后时为太尉，在诛灭诸吕、拥立文帝中起关键作用。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</si>
  <si>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以中涓从起沛，至霸上，为侯。定三秦，食邑，为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将军</t>
    </r>
    <r>
      <rPr>
        <sz val="11"/>
        <color theme="1"/>
        <rFont val="Calibri"/>
        <family val="2"/>
        <charset val="1"/>
      </rPr>
      <t xml:space="preserve">$……</t>
    </r>
    <r>
      <rPr>
        <sz val="11"/>
        <color theme="1"/>
        <rFont val="思源黑体"/>
        <family val="2"/>
      </rPr>
      <t xml:space="preserve">八千一百户。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其四年为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太尉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</si>
  <si>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表（绛条目）</t>
  </si>
  <si>
    <r>
      <rPr>
        <sz val="11"/>
        <color theme="1"/>
        <rFont val="思源黑体"/>
        <family val="2"/>
      </rPr>
      <t xml:space="preserve">据《中国历史大事年表》前</t>
    </r>
    <r>
      <rPr>
        <sz val="11"/>
        <color theme="1"/>
        <rFont val="Calibri"/>
        <family val="2"/>
        <charset val="1"/>
      </rPr>
      <t xml:space="preserve">189</t>
    </r>
    <r>
      <rPr>
        <sz val="11"/>
        <color theme="1"/>
        <rFont val="思源黑体"/>
        <family val="2"/>
      </rPr>
      <t xml:space="preserve">年（惠帝六年）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以周勃为太尉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；前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年（高后八年）九月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太尉周勃诈以帝命入北军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诛诸吕。原标注前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思源黑体"/>
        <family val="2"/>
      </rPr>
      <t xml:space="preserve">年系单锚点塌缩错误，将两个不同时间点的事件误合为一</t>
    </r>
  </si>
  <si>
    <t xml:space="preserve">曲逆侯陈平，以故楚都尉从修武归汉，出六奇计定天下。封五千户。高后时为右丞相，后专为丞相，相孝文二年。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</si>
  <si>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以故楚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都尉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，汉王二年初从修武，为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都尉</t>
    </r>
    <r>
      <rPr>
        <sz val="11"/>
        <color theme="1"/>
        <rFont val="Calibri"/>
        <family val="2"/>
        <charset val="1"/>
      </rPr>
      <t xml:space="preserve">$……</t>
    </r>
    <r>
      <rPr>
        <sz val="11"/>
        <color theme="1"/>
        <rFont val="思源黑体"/>
        <family val="2"/>
      </rPr>
      <t xml:space="preserve">出六奇计，定天下，侯，五千户。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其元年，徙为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右丞相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；后专为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，相孝文二年。</t>
    </r>
    <r>
      <rPr>
        <sz val="11"/>
        <color theme="1"/>
        <rFont val="Calibri"/>
        <family val="2"/>
        <charset val="1"/>
      </rPr>
      <t xml:space="preserve">"</t>
    </r>
  </si>
  <si>
    <t xml:space="preserve">表（曲逆条目）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</si>
  <si>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专相孝文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指文帝即位后陈平独任丞相。据《中国历史大事年表》前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年（高后八年）诛诸吕后文帝即位，前</t>
    </r>
    <r>
      <rPr>
        <sz val="11"/>
        <color theme="1"/>
        <rFont val="Calibri"/>
        <family val="2"/>
        <charset val="1"/>
      </rPr>
      <t xml:space="preserve">179</t>
    </r>
    <r>
      <rPr>
        <sz val="11"/>
        <color theme="1"/>
        <rFont val="思源黑体"/>
        <family val="2"/>
      </rPr>
      <t xml:space="preserve">年（文帝元年）陈平专为丞相，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相孝文二年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即在文帝前二年（前</t>
    </r>
    <r>
      <rPr>
        <sz val="11"/>
        <color theme="1"/>
        <rFont val="Calibri"/>
        <family val="2"/>
        <charset val="1"/>
      </rPr>
      <t xml:space="preserve">178</t>
    </r>
    <r>
      <rPr>
        <sz val="11"/>
        <color theme="1"/>
        <rFont val="思源黑体"/>
        <family val="2"/>
      </rPr>
      <t xml:space="preserve">年）死。原标注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高后八年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不够准确，应以文帝元年为准</t>
    </r>
  </si>
  <si>
    <t xml:space="preserve">太史公读列封至便侯，长沙王载于令甲，称其忠。至惠帝时唯独长沙国保全，禅五世，以无嗣而绝，竟无过失，为藩守职。故其恩泽流布枝庶，无功而封侯者数人。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</si>
  <si>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长沙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王者，着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令甲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思源黑体"/>
        <family val="2"/>
      </rPr>
      <t xml:space="preserve">，称其忠焉。昔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定天下，功臣非同姓疆土而王者八国。至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孝惠帝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时，唯独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长沙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全，禅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五世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，以无嗣绝，竟无过，为籓守职，信矣。</t>
    </r>
    <r>
      <rPr>
        <sz val="11"/>
        <color theme="1"/>
        <rFont val="Calibri"/>
        <family val="2"/>
        <charset val="1"/>
      </rPr>
      <t xml:space="preserve">"</t>
    </r>
  </si>
  <si>
    <t xml:space="preserve">[1.2]-[2.2]</t>
  </si>
  <si>
    <r>
      <rPr>
        <sz val="11"/>
        <color theme="1"/>
        <rFont val="思源黑体"/>
        <family val="2"/>
      </rPr>
      <t xml:space="preserve">时间字段存在双重标注：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并列。年表前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年条记载封吴芮为长沙王，前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年条记载长沙王吴著死无子国除，两端均有年表确认，应使用精确标注（）。且第一个标注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格式不完整（缺起始年）。建议统一为单一精确标注（公元前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157</t>
    </r>
    <r>
      <rPr>
        <sz val="11"/>
        <color theme="1"/>
        <rFont val="思源黑体"/>
        <family val="2"/>
      </rPr>
      <t xml:space="preserve">年）</t>
    </r>
  </si>
  <si>
    <t xml:space="preserve">高祖定天下时，功臣非同姓而封王者共八国。除长沙外，其余异姓王皆先后被废灭。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</si>
  <si>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昔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定天下，功臣非同姓疆土而王者八国。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</si>
  <si>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史实推断：高祖五年（前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年）二月即皇帝位，封异姓八王。据《中国历史大事年表》前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年条。原标注误由前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年锚点塌缩所致</t>
    </r>
  </si>
  <si>
    <t xml:space="preserve">自孝惠至孝景间五十年，追修高祖时遗功臣，以及从代来之功臣、吴楚之乱中立功者、诸侯子及肺腑近亲、外国归义者，封侯九十有余人。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</si>
  <si>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及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孝惠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讫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孝景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间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五十载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，追修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高祖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时遗功臣，及从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代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来，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吴</t>
    </r>
    <r>
      <rPr>
        <sz val="11"/>
        <color theme="1"/>
        <rFont val="Calibri"/>
        <family val="2"/>
        <charset val="1"/>
      </rPr>
      <t xml:space="preserve">&amp;&amp;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之劳，诸侯子若肺腑，外国归义，封者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九十有余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</si>
  <si>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时间字段存在多重标注冗余（模式</t>
    </r>
    <r>
      <rPr>
        <sz val="11"/>
        <color theme="1"/>
        <rFont val="Calibri"/>
        <family val="2"/>
        <charset val="1"/>
      </rPr>
      <t xml:space="preserve">33</t>
    </r>
    <r>
      <rPr>
        <sz val="11"/>
        <color theme="1"/>
        <rFont val="思源黑体"/>
        <family val="2"/>
      </rPr>
      <t xml:space="preserve">）：三个并列标注中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重复出现两次，且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五十载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是文本描述而非纪年标记。应统一为单一标注。惠帝元年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思源黑体"/>
        <family val="2"/>
      </rPr>
      <t xml:space="preserve">年（年表确认），景帝后三年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年（景帝崩年），两端均可精确换算。建议清理为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公元前</t>
    </r>
    <r>
      <rPr>
        <sz val="11"/>
        <color theme="1"/>
        <rFont val="Calibri"/>
        <family val="2"/>
        <charset val="1"/>
      </rPr>
      <t xml:space="preserve">194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141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</si>
  <si>
    <t xml:space="preserve">高后时期，吕氏大量封侯：吕产为郊侯后为吕王，吕禄为赵王。吕种、吕通等多位吕氏子弟亦封侯。诸吕擅权，谋为不善。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</si>
  <si>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吕后兄悼武王身佐高祖定天下……封武王少子产为郊侯。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八年九月，产以吕王为汉相，谋为不善。大臣诛产，遂灭诸吕。</t>
    </r>
    <r>
      <rPr>
        <sz val="11"/>
        <color theme="1"/>
        <rFont val="Calibri"/>
        <family val="2"/>
        <charset val="1"/>
      </rPr>
      <t xml:space="preserve">"</t>
    </r>
  </si>
  <si>
    <t xml:space="preserve">表（郊、沛、赘其等条目）</t>
  </si>
  <si>
    <r>
      <rPr>
        <sz val="11"/>
        <color theme="1"/>
        <rFont val="思源黑体"/>
        <family val="2"/>
      </rPr>
      <t xml:space="preserve">时间字段存在多重标注冗余：</t>
    </r>
    <r>
      <rPr>
        <sz val="11"/>
        <color theme="1"/>
        <rFont val="Calibri"/>
        <family val="2"/>
        <charset val="1"/>
      </rPr>
      <t xml:space="preserve">'%</t>
    </r>
    <r>
      <rPr>
        <sz val="11"/>
        <color theme="1"/>
        <rFont val="思源黑体"/>
        <family val="2"/>
      </rPr>
      <t xml:space="preserve">高后时</t>
    </r>
    <r>
      <rPr>
        <sz val="11"/>
        <color theme="1"/>
        <rFont val="Calibri"/>
        <family val="2"/>
        <charset val="1"/>
      </rPr>
      <t xml:space="preserve">%'</t>
    </r>
    <r>
      <rPr>
        <sz val="11"/>
        <color theme="1"/>
        <rFont val="思源黑体"/>
        <family val="2"/>
      </rPr>
      <t xml:space="preserve">是纪年标记、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是不完整的推算标注、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是精确区间标注，三者并列。年表前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思源黑体"/>
        <family val="2"/>
      </rPr>
      <t xml:space="preserve">年条记载封吕台为吕王，前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年条记载诸吕被灭，两端均有年表确认。应统一为单一精确标注（公元前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思源黑体"/>
        <family val="2"/>
      </rPr>
      <t xml:space="preserve">年）</t>
    </r>
  </si>
  <si>
    <t xml:space="preserve">高后八年，大臣诛灭诸吕。阳信侯刘揭以典客夺赵王吕禄印，关殿门拒吕产等入，共同尊立孝文帝，封侯二千户。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</si>
  <si>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高祖十一年为郎。以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典客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夺赵王吕禄印，关殿门拒吕产等入，共尊立孝文，侯，二千户。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</si>
  <si>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表（阳信条目）</t>
  </si>
  <si>
    <t xml:space="preserve">宋昌以家吏从高祖起于山东，以都尉守荥阳。后以代中尉劝代王入京，骖乘至代邸，代王终为皇帝（文帝）。封壮武侯千四百户。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</si>
  <si>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以代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中尉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劝代王入，骖乘至代邸，王卒为帝，功侯，千四百户。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</si>
  <si>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表（壮武条目）</t>
  </si>
  <si>
    <t xml:space="preserve">景帝三年吴楚之乱后，平叛有功者获封侯。此后的封侯多与从代来迎文帝、及平定吴楚之乱的军功有关。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</si>
  <si>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及从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代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来，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吴</t>
    </r>
    <r>
      <rPr>
        <sz val="11"/>
        <color theme="1"/>
        <rFont val="Calibri"/>
        <family val="2"/>
        <charset val="1"/>
      </rPr>
      <t xml:space="preserve">&amp;&amp;</t>
    </r>
    <r>
      <rPr>
        <sz val="11"/>
        <color theme="1"/>
        <rFont val="思源黑体"/>
        <family val="2"/>
      </rPr>
      <t xml:space="preserve">楚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之劳……封者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九十有余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</si>
  <si>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梧侯阳成延以军匠从起郏，入汉，后为少府，主持建造长乐宫、未央宫，筑长安城，先期完工，以功封侯五百户。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</si>
  <si>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以军匠从起郏，入汉，后为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少府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，作长乐、未央宫，筑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长安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城，先就，功侯，五百户。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</si>
  <si>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表（梧条目）</t>
  </si>
  <si>
    <r>
      <rPr>
        <sz val="11"/>
        <color theme="1"/>
        <rFont val="思源黑体"/>
        <family val="2"/>
      </rPr>
      <t xml:space="preserve">时间字段存在双重标注：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并列。年表前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年条记载长乐宫始修，前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年有筑长安城记载，两端均有年表确认。应统一为精确标注。第一个标注</t>
    </r>
    <r>
      <rPr>
        <sz val="11"/>
        <color theme="1"/>
        <rFont val="Calibri"/>
        <family val="2"/>
        <charset val="1"/>
      </rPr>
      <t xml:space="preserve">'[</t>
    </r>
    <r>
      <rPr>
        <sz val="11"/>
        <color theme="1"/>
        <rFont val="思源黑体"/>
        <family val="2"/>
      </rPr>
      <t xml:space="preserve">约—前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]'</t>
    </r>
    <r>
      <rPr>
        <sz val="11"/>
        <color theme="1"/>
        <rFont val="思源黑体"/>
        <family val="2"/>
      </rPr>
      <t xml:space="preserve">格式不完整（缺起始年）。建议统一为（公元前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年—前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思源黑体"/>
        <family val="2"/>
      </rPr>
      <t xml:space="preserve">年）</t>
    </r>
  </si>
  <si>
    <t xml:space="preserve">太史公论述建元以来封侯背景：匈奴断绝和亲，攻击当路边塞。自《诗》《书》称三代膺戎狄、征荆楚以来，齐桓、武灵王、秦穆、吴楚诸君均征讨外族。如今以中国一统、明天子在上，自当出师讨伐。</t>
  </si>
  <si>
    <r>
      <rPr>
        <sz val="11"/>
        <color theme="1"/>
        <rFont val="Calibri"/>
        <family val="2"/>
        <charset val="1"/>
      </rPr>
      <t xml:space="preserve">"~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绝和亲，攻当路塞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</si>
  <si>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年表前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思源黑体"/>
        <family val="2"/>
      </rPr>
      <t xml:space="preserve">年（元光二年）明确记载马邑之谋后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匈奴攻扰更甚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思源黑体"/>
        <family val="2"/>
      </rPr>
      <t xml:space="preserve">，匈奴绝和亲即始于此年，可升级为精确纪年</t>
    </r>
  </si>
  <si>
    <t xml:space="preserve">闽越擅自征伐，东瓯请降。二夷交侵，当盛汉之隆。此后汉朝出师北讨强胡、南诛劲越，将卒以次封侯。</t>
  </si>
  <si>
    <r>
      <rPr>
        <sz val="11"/>
        <color theme="1"/>
        <rFont val="Calibri"/>
        <family val="2"/>
        <charset val="1"/>
      </rPr>
      <t xml:space="preserve">"~</t>
    </r>
    <r>
      <rPr>
        <sz val="11"/>
        <color theme="1"/>
        <rFont val="思源黑体"/>
        <family val="2"/>
      </rPr>
      <t xml:space="preserve">闽越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擅伐，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东瓯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请降。二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夷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思源黑体"/>
        <family val="2"/>
      </rPr>
      <t xml:space="preserve">交侵，当盛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汉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之隆</t>
    </r>
    <r>
      <rPr>
        <sz val="11"/>
        <color theme="1"/>
        <rFont val="Calibri"/>
        <family val="2"/>
        <charset val="1"/>
      </rPr>
      <t xml:space="preserve">"</t>
    </r>
  </si>
  <si>
    <t xml:space="preserve">[1.1]-[1.2]</t>
  </si>
  <si>
    <r>
      <rPr>
        <sz val="11"/>
        <color theme="1"/>
        <rFont val="思源黑体"/>
        <family val="2"/>
      </rPr>
      <t xml:space="preserve">据《中国历史大事年表》，建元三年（前</t>
    </r>
    <r>
      <rPr>
        <sz val="11"/>
        <color theme="1"/>
        <rFont val="Calibri"/>
        <family val="2"/>
        <charset val="1"/>
      </rPr>
      <t xml:space="preserve">138</t>
    </r>
    <r>
      <rPr>
        <sz val="11"/>
        <color theme="1"/>
        <rFont val="思源黑体"/>
        <family val="2"/>
      </rPr>
      <t xml:space="preserve">年）闽越围东瓯，东瓯求救，武帝使严助会稽兵浮海往救，闽越罢兵，东瓯请内徙。原标注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系单锚点塌缩至</t>
    </r>
    <r>
      <rPr>
        <sz val="11"/>
        <color theme="1"/>
        <rFont val="Calibri"/>
        <family val="2"/>
        <charset val="1"/>
      </rPr>
      <t xml:space="preserve">020-003</t>
    </r>
    <r>
      <rPr>
        <sz val="11"/>
        <color theme="1"/>
        <rFont val="思源黑体"/>
        <family val="2"/>
      </rPr>
      <t xml:space="preserve">，已修正</t>
    </r>
  </si>
  <si>
    <t xml:space="preserve">卫青以元朔二年再以车骑将军击匈奴，取朔方、河南有功封长平侯。元朔五年以大将军击匈奴破右贤王，益封三千户。为汉武帝时期最重要的军事统帅。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</si>
  <si>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以元朔二年再以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车骑将军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击匈奴，取朔方、河南功侯。元朔五年，以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击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，破右贤王，益封三千户。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</si>
  <si>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表（长平条目）</t>
  </si>
  <si>
    <r>
      <rPr>
        <sz val="11"/>
        <color theme="1"/>
        <rFont val="思源黑体"/>
        <family val="2"/>
      </rPr>
      <t xml:space="preserve">原文记载元朔二年，即公元前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</t>
    </r>
  </si>
  <si>
    <t xml:space="preserve">霍去病以嫖姚校尉再从大将军击匈奴，斩相国有功封冠军侯。元狩二年以骠骑将军击匈奴至祁连山，迎浑邪王降，击左右贤王，屡次益封。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</si>
  <si>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以嫖姚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校尉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再从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$……</t>
    </r>
    <r>
      <rPr>
        <sz val="11"/>
        <color theme="1"/>
        <rFont val="思源黑体"/>
        <family val="2"/>
      </rPr>
      <t xml:space="preserve">斩相国功侯。元狩二年，以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骠骑将军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击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，至祁连，益封</t>
    </r>
    <r>
      <rPr>
        <sz val="11"/>
        <color theme="1"/>
        <rFont val="Calibri"/>
        <family val="2"/>
        <charset val="1"/>
      </rPr>
      <t xml:space="preserve">"</t>
    </r>
  </si>
  <si>
    <t xml:space="preserve">表（冠军条目）</t>
  </si>
  <si>
    <r>
      <rPr>
        <sz val="11"/>
        <color theme="1"/>
        <rFont val="思源黑体"/>
        <family val="2"/>
      </rPr>
      <t xml:space="preserve">原文记载元朔六年，即公元前</t>
    </r>
    <r>
      <rPr>
        <sz val="11"/>
        <color theme="1"/>
        <rFont val="Calibri"/>
        <family val="2"/>
        <charset val="1"/>
      </rPr>
      <t xml:space="preserve">123</t>
    </r>
    <r>
      <rPr>
        <sz val="11"/>
        <color theme="1"/>
        <rFont val="思源黑体"/>
        <family val="2"/>
      </rPr>
      <t xml:space="preserve">年</t>
    </r>
  </si>
  <si>
    <t xml:space="preserve">公孙弘以丞相之职受诏褒奖封为平津侯。这是汉朝以丞相身份封侯的典型案例，开丞相封侯之先河。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</si>
  <si>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诏所褒侯。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元朔五年十一月乙丑，献侯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公孙弘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元年。</t>
    </r>
    <r>
      <rPr>
        <sz val="11"/>
        <color theme="1"/>
        <rFont val="Calibri"/>
        <family val="2"/>
        <charset val="1"/>
      </rPr>
      <t xml:space="preserve">"</t>
    </r>
  </si>
  <si>
    <t xml:space="preserve">表（平津条目）</t>
  </si>
  <si>
    <r>
      <rPr>
        <sz val="11"/>
        <color theme="1"/>
        <rFont val="思源黑体"/>
        <family val="2"/>
      </rPr>
      <t xml:space="preserve">原文记载元朔五年，即公元前</t>
    </r>
    <r>
      <rPr>
        <sz val="11"/>
        <color theme="1"/>
        <rFont val="Calibri"/>
        <family val="2"/>
        <charset val="1"/>
      </rPr>
      <t xml:space="preserve">124</t>
    </r>
    <r>
      <rPr>
        <sz val="11"/>
        <color theme="1"/>
        <rFont val="思源黑体"/>
        <family val="2"/>
      </rPr>
      <t xml:space="preserve">年</t>
    </r>
  </si>
  <si>
    <t xml:space="preserve">张骞以校尉从大将军击匈奴，知水道，及前使绝域大夏（通西域）之功封博望侯。后以将军击匈奴畏懦，当斩赎罪，国除。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</si>
  <si>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校尉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从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六年击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，知水道，及前使绝域大夏功侯。</t>
    </r>
    <r>
      <rPr>
        <sz val="11"/>
        <color theme="1"/>
        <rFont val="Calibri"/>
        <family val="2"/>
        <charset val="1"/>
      </rPr>
      <t xml:space="preserve">"</t>
    </r>
  </si>
  <si>
    <t xml:space="preserve">表（博望条目）</t>
  </si>
  <si>
    <t xml:space="preserve">匈奴浑邪王率部众十万人投降汉朝，封为漯阴侯，食邑万户。这是匈奴归降汉朝规模最大的一次，极大削弱了匈奴力量。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</si>
  <si>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浑邪王将众十万降侯，万户。</t>
    </r>
    <r>
      <rPr>
        <sz val="11"/>
        <color theme="1"/>
        <rFont val="Calibri"/>
        <family val="2"/>
        <charset val="1"/>
      </rPr>
      <t xml:space="preserve">"</t>
    </r>
  </si>
  <si>
    <t xml:space="preserve">表（漯阴条目）</t>
  </si>
  <si>
    <r>
      <rPr>
        <sz val="11"/>
        <color theme="1"/>
        <rFont val="思源黑体"/>
        <family val="2"/>
      </rPr>
      <t xml:space="preserve">原文记载元狩二年，即公元前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</t>
    </r>
  </si>
  <si>
    <t xml:space="preserve">建元以来，大量匈奴降将和归义者被封侯，包括匈奴相、都尉、王、大当户等各级贵族。体现了汉朝招抚匈奴的政策。</t>
  </si>
  <si>
    <t xml:space="preserve">表中翕侯（匈奴相降）、持装侯（匈奴都尉降）、昌武侯（匈奴王降）等多条</t>
  </si>
  <si>
    <t xml:space="preserve">表（多条目）</t>
  </si>
  <si>
    <r>
      <rPr>
        <sz val="11"/>
        <color theme="1"/>
        <rFont val="思源黑体"/>
        <family val="2"/>
      </rPr>
      <t xml:space="preserve">据《中国历史大事年表》，匈奴归义封侯集中在元狩二年（前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年）浑邪王降汉后至元狩四年（前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思源黑体"/>
        <family val="2"/>
      </rPr>
      <t xml:space="preserve">年）漠北大战期间，非单一年份事件。原标注取单锚点前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年，现修正为时间段</t>
    </r>
  </si>
  <si>
    <t xml:space="preserve">元朔五年，大将军卫青大破匈奴右贤王，众多校尉、都尉以此战功封侯，包括南奅侯公孙贺、合骑侯公孙敖、乐安侯李蔡、龙镪侯韩说、随成侯赵不虞等。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</si>
  <si>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校尉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三从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青击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，至右贤王庭，得王功侯。</t>
    </r>
    <r>
      <rPr>
        <sz val="11"/>
        <color theme="1"/>
        <rFont val="Calibri"/>
        <family val="2"/>
        <charset val="1"/>
      </rPr>
      <t xml:space="preserve">"</t>
    </r>
  </si>
  <si>
    <t xml:space="preserve">表（多条目，元朔五年）</t>
  </si>
  <si>
    <r>
      <rPr>
        <sz val="11"/>
        <color theme="1"/>
        <rFont val="思源黑体"/>
        <family val="2"/>
      </rPr>
      <t xml:space="preserve">元狩二年（前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年），骠骑将军霍去病出陇西击匈奴至祁连山，大捷。元狩四年（前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思源黑体"/>
        <family val="2"/>
      </rPr>
      <t xml:space="preserve">年），大出兵击匈奴左贤王，封狼居胥山，众多将领以从骠骑将军之功封侯，包括符离侯路博德、壮侯复陆支、义阳侯卫山等。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</si>
  <si>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以右北平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太守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从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骠骑将军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四年击右王……首虏二千七百人功侯。</t>
    </r>
    <r>
      <rPr>
        <sz val="11"/>
        <color theme="1"/>
        <rFont val="Calibri"/>
        <family val="2"/>
        <charset val="1"/>
      </rPr>
      <t xml:space="preserve">"</t>
    </r>
  </si>
  <si>
    <t xml:space="preserve">表（多条目，元狩二年至四年）</t>
  </si>
  <si>
    <r>
      <rPr>
        <sz val="11"/>
        <color theme="1"/>
        <rFont val="思源黑体"/>
        <family val="2"/>
      </rPr>
      <t xml:space="preserve">据《中国历史大事年表》，此事件合并两次战役：元狩二年（前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年）霍去病至祁连山之战，与元狩四年（前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思源黑体"/>
        <family val="2"/>
      </rPr>
      <t xml:space="preserve">年）漠北大战击左贤王。原标注仅取元狩二年（前</t>
    </r>
    <r>
      <rPr>
        <sz val="11"/>
        <color theme="1"/>
        <rFont val="Calibri"/>
        <family val="2"/>
        <charset val="1"/>
      </rPr>
      <t xml:space="preserve">121</t>
    </r>
    <r>
      <rPr>
        <sz val="11"/>
        <color theme="1"/>
        <rFont val="思源黑体"/>
        <family val="2"/>
      </rPr>
      <t xml:space="preserve">年），遗漏元狩四年主体战役，已修正为时间段</t>
    </r>
  </si>
  <si>
    <t xml:space="preserve">制诏御史：诸侯王或欲推私恩分子弟邑者，令各条上，天子亲临定其号名。太史公赞曰：盛哉天子之德！一人有庆，天下赖之。此诏书即推恩令，使诸侯王将封地分给子弟，实质为削弱诸侯势力的策略。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</si>
  <si>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制诏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御史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诸侯王或欲推私恩分子弟邑者，令各条上，朕且临定其号名。</t>
    </r>
    <r>
      <rPr>
        <sz val="11"/>
        <color theme="1"/>
        <rFont val="Calibri"/>
        <family val="2"/>
        <charset val="1"/>
      </rPr>
      <t xml:space="preserve">""</t>
    </r>
  </si>
  <si>
    <t xml:space="preserve">[1]</t>
  </si>
  <si>
    <r>
      <rPr>
        <sz val="11"/>
        <color theme="1"/>
        <rFont val="思源黑体"/>
        <family val="2"/>
      </rPr>
      <t xml:space="preserve">交叉验证确定：《中国历史大事年表》前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年条明载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用主父偃策，下推恩令，令诸侯得分地给子弟为侯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，与本表</t>
    </r>
    <r>
      <rPr>
        <sz val="11"/>
        <color theme="1"/>
        <rFont val="Calibri"/>
        <family val="2"/>
        <charset val="1"/>
      </rPr>
      <t xml:space="preserve">021-002</t>
    </r>
    <r>
      <rPr>
        <sz val="11"/>
        <color theme="1"/>
        <rFont val="思源黑体"/>
        <family val="2"/>
      </rPr>
      <t xml:space="preserve">王子侯大规模分封同年。原标注为</t>
    </r>
    <r>
      <rPr>
        <sz val="11"/>
        <color theme="1"/>
        <rFont val="Calibri"/>
        <family val="2"/>
        <charset val="1"/>
      </rPr>
      <t xml:space="preserve">"[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]"</t>
    </r>
    <r>
      <rPr>
        <sz val="11"/>
        <color theme="1"/>
        <rFont val="思源黑体"/>
        <family val="2"/>
      </rPr>
      <t xml:space="preserve">系单锚点塌缩——仅依据后续事件插值推断，实际年份可由年表直接确认为元朔二年（前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年）</t>
    </r>
  </si>
  <si>
    <t xml:space="preserve">元朔二年起，大规模分封王子为侯。长沙定王子、楚安王子、鲁共王子、江都易王子、菑川懿王子、城阳共王子、赵敬肃王子、中山靖王子、广川惠王子等各诸侯王的子弟纷纷被封为列侯。仅元朔二年就封了数十人，实现了推恩令的政策目标。</t>
  </si>
  <si>
    <r>
      <rPr>
        <sz val="11"/>
        <color theme="1"/>
        <rFont val="思源黑体"/>
        <family val="2"/>
      </rPr>
      <t xml:space="preserve">表中元朔二年大量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二年五月乙巳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二年六月甲午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条目</t>
    </r>
  </si>
  <si>
    <t xml:space="preserve">表（元朔二年至五年）</t>
  </si>
  <si>
    <r>
      <rPr>
        <sz val="11"/>
        <color theme="1"/>
        <rFont val="思源黑体"/>
        <family val="2"/>
      </rPr>
      <t xml:space="preserve">交叉验证确认：《中国历史大事年表》前</t>
    </r>
    <r>
      <rPr>
        <sz val="11"/>
        <color theme="1"/>
        <rFont val="Calibri"/>
        <family val="2"/>
        <charset val="1"/>
      </rPr>
      <t xml:space="preserve">127</t>
    </r>
    <r>
      <rPr>
        <sz val="11"/>
        <color theme="1"/>
        <rFont val="思源黑体"/>
        <family val="2"/>
      </rPr>
      <t xml:space="preserve">年条记载推恩令同年大规模分封，与表中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元朔二年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纪年一致</t>
    </r>
  </si>
  <si>
    <r>
      <rPr>
        <sz val="11"/>
        <color theme="1"/>
        <rFont val="思源黑体"/>
        <family val="2"/>
      </rPr>
      <t xml:space="preserve">元鼎五年，大量王子侯因酎金（祭祀用金）不合格而被坐罪削爵、国除。这是汉武帝借酎金之名进一步削弱诸侯势力的重要手段。表中大量条目记载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坐酎金，国除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。</t>
    </r>
  </si>
  <si>
    <r>
      <rPr>
        <sz val="11"/>
        <color theme="1"/>
        <rFont val="思源黑体"/>
        <family val="2"/>
      </rPr>
      <t xml:space="preserve">表中多条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五年，侯某坐酎金，国除</t>
    </r>
    <r>
      <rPr>
        <sz val="11"/>
        <color theme="1"/>
        <rFont val="Calibri"/>
        <family val="2"/>
        <charset val="1"/>
      </rPr>
      <t xml:space="preserve">"</t>
    </r>
  </si>
  <si>
    <t xml:space="preserve">表（元鼎五年）</t>
  </si>
  <si>
    <r>
      <rPr>
        <sz val="11"/>
        <color theme="1"/>
        <rFont val="思源黑体"/>
        <family val="2"/>
      </rPr>
      <t xml:space="preserve">交叉验证确认：《中国历史大事年表》前</t>
    </r>
    <r>
      <rPr>
        <sz val="11"/>
        <color theme="1"/>
        <rFont val="Calibri"/>
        <family val="2"/>
        <charset val="1"/>
      </rPr>
      <t xml:space="preserve">112</t>
    </r>
    <r>
      <rPr>
        <sz val="11"/>
        <color theme="1"/>
        <rFont val="思源黑体"/>
        <family val="2"/>
      </rPr>
      <t xml:space="preserve">年条记载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列侯奉命献金祭宗庙。以分量、成色不足被夺爵者一百零六人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，与表中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元鼎五年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纪年一致。年表还记载丞相赵周因知列侯献金轻而下狱自杀</t>
    </r>
  </si>
  <si>
    <t xml:space="preserve">高皇帝元年春，沛公为汉王，往南郑。丞相萧何守汉中，为汉王经营后方根据地。秋，汉王还定雍地。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</si>
  <si>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春，沛公为汉王，之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南郑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。秋，还定雍。</t>
    </r>
    <r>
      <rPr>
        <sz val="11"/>
        <color theme="1"/>
        <rFont val="Calibri"/>
        <family val="2"/>
        <charset val="1"/>
      </rPr>
      <t xml:space="preserve">""$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$@</t>
    </r>
    <r>
      <rPr>
        <sz val="11"/>
        <color theme="1"/>
        <rFont val="思源黑体"/>
        <family val="2"/>
      </rPr>
      <t xml:space="preserve">萧何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守汉中。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</si>
  <si>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</si>
  <si>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原文记载高祖元年，即公元前</t>
    </r>
    <r>
      <rPr>
        <sz val="11"/>
        <color theme="1"/>
        <rFont val="Calibri"/>
        <family val="2"/>
        <charset val="1"/>
      </rPr>
      <t xml:space="preserve">206</t>
    </r>
    <r>
      <rPr>
        <sz val="11"/>
        <color theme="1"/>
        <rFont val="思源黑体"/>
        <family val="2"/>
      </rPr>
      <t xml:space="preserve">年</t>
    </r>
  </si>
  <si>
    <t xml:space="preserve">高祖五年冬，在垓下破楚军，杀项籍。楚汉战争就此结束。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</si>
  <si>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冬，破楚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垓下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，杀项籍。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</si>
  <si>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</si>
  <si>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原文记载高祖五年，即公元前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思源黑体"/>
        <family val="2"/>
      </rPr>
      <t xml:space="preserve">年</t>
    </r>
  </si>
  <si>
    <t xml:space="preserve">高祖五年春，汉王在定陶践皇帝位，入都关中。同时罢太尉官。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</si>
  <si>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春，王践皇帝位定陶。入都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关中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</si>
  <si>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t xml:space="preserve">高祖六年，尊太公为太上皇，刘仲为代王，立大市。更命咸阳为长安，正式确立汉朝都城。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</si>
  <si>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尊太公为太上皇。刘仲为代王。立大市。更命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咸阳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曰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长安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</si>
  <si>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</si>
  <si>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原文记载高祖六年，即公元前</t>
    </r>
    <r>
      <rPr>
        <sz val="11"/>
        <color theme="1"/>
        <rFont val="Calibri"/>
        <family val="2"/>
        <charset val="1"/>
      </rPr>
      <t xml:space="preserve">201</t>
    </r>
    <r>
      <rPr>
        <sz val="11"/>
        <color theme="1"/>
        <rFont val="思源黑体"/>
        <family val="2"/>
      </rPr>
      <t xml:space="preserve">年</t>
    </r>
  </si>
  <si>
    <t xml:space="preserve">高祖七年，长乐宫建成，自栎阳迁都长安。高祖伐匈奴，匈奴围困汉军于平城。此即白登之围，是汉初面临的最大外患危机。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</si>
  <si>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长乐宫成，自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栎阳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徙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长安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。伐匈奴，匈奴围我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平城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</si>
  <si>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</si>
  <si>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原文记载高祖七年，即公元前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思源黑体"/>
        <family val="2"/>
      </rPr>
      <t xml:space="preserve">年</t>
    </r>
  </si>
  <si>
    <t xml:space="preserve">高祖九年，未央宫建成。高祖在前殿置酒，让太上皇辇上坐，亲自奉玉卮上寿，说：「始常以臣不如仲力，今臣功孰与仲多？」太上皇笑，殿上称万岁。同时迁齐田、楚昭屈景诸族于关中。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</si>
  <si>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未央宫成，置酒前殿，太上皇辇上坐，帝奉玉卮上寿，曰：「始常以臣不如仲力，今臣功孰与仲多？」太上皇笑，殿上称万岁。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</si>
  <si>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</si>
  <si>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原文记载高祖九年，即公元前</t>
    </r>
    <r>
      <rPr>
        <sz val="11"/>
        <color theme="1"/>
        <rFont val="Calibri"/>
        <family val="2"/>
        <charset val="1"/>
      </rPr>
      <t xml:space="preserve">198</t>
    </r>
    <r>
      <rPr>
        <sz val="11"/>
        <color theme="1"/>
        <rFont val="思源黑体"/>
        <family val="2"/>
      </rPr>
      <t xml:space="preserve">年</t>
    </r>
  </si>
  <si>
    <t xml:space="preserve">高祖十年，太上皇崩。陈豨在代地反叛。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</si>
  <si>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太上皇崩。陈豨反代地。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</si>
  <si>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197</t>
    </r>
    <r>
      <rPr>
        <sz val="11"/>
        <color theme="1"/>
        <rFont val="思源黑体"/>
        <family val="2"/>
      </rPr>
      <t xml:space="preserve">年）</t>
    </r>
  </si>
  <si>
    <t xml:space="preserve">高祖十一年，诛杀淮阴侯韩信和梁王彭越。英布（黥布）随即反叛。周勃为太尉攻代。这是汉初剪除异姓王的高潮时期。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</si>
  <si>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诛淮阴、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彭越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。黥布反。</t>
    </r>
    <r>
      <rPr>
        <sz val="11"/>
        <color theme="1"/>
        <rFont val="Calibri"/>
        <family val="2"/>
        <charset val="1"/>
      </rPr>
      <t xml:space="preserve">""@</t>
    </r>
    <r>
      <rPr>
        <sz val="11"/>
        <color theme="1"/>
        <rFont val="思源黑体"/>
        <family val="2"/>
      </rPr>
      <t xml:space="preserve">周勃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太尉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。攻代。</t>
    </r>
    <r>
      <rPr>
        <sz val="11"/>
        <color theme="1"/>
        <rFont val="Calibri"/>
        <family val="2"/>
        <charset val="1"/>
      </rPr>
      <t xml:space="preserve">"</t>
    </r>
  </si>
  <si>
    <t xml:space="preserve">高祖十二年冬击英布，还过沛。夏上崩，葬长陵。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</si>
  <si>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冬，击布。还过沛。夏，上崩，葬长陵。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</si>
  <si>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</si>
  <si>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原文记载高祖十二年，即公元前</t>
    </r>
    <r>
      <rPr>
        <sz val="11"/>
        <color theme="1"/>
        <rFont val="Calibri"/>
        <family val="2"/>
        <charset val="1"/>
      </rPr>
      <t xml:space="preserve">195</t>
    </r>
    <r>
      <rPr>
        <sz val="11"/>
        <color theme="1"/>
        <rFont val="思源黑体"/>
        <family val="2"/>
      </rPr>
      <t xml:space="preserve">年</t>
    </r>
  </si>
  <si>
    <t xml:space="preserve">惠帝二年七月辛未日萧何去世。七月癸巳日，齐相平阳侯曹参继任为相国。曹参萧规曹随，延续萧何政策。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</si>
  <si>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七月辛未，何薨。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七月癸巳，齐相平阳侯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曹参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相国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</si>
  <si>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193</t>
    </r>
    <r>
      <rPr>
        <sz val="11"/>
        <color theme="1"/>
        <rFont val="思源黑体"/>
        <family val="2"/>
      </rPr>
      <t xml:space="preserve">年）</t>
    </r>
  </si>
  <si>
    <t xml:space="preserve">高后八年七月高后崩。九月诛诸吕。后九月代王至，践皇帝位。太尉周勃在诛灭诸吕中起关键作用，文帝即位后周勃为右丞相。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</si>
  <si>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七月，高后崩。九月，诛诸吕。后九月，代王至，践皇帝位。</t>
    </r>
    <r>
      <rPr>
        <sz val="11"/>
        <color theme="1"/>
        <rFont val="Calibri"/>
        <family val="2"/>
        <charset val="1"/>
      </rPr>
      <t xml:space="preserve">"</t>
    </r>
  </si>
  <si>
    <t xml:space="preserve">文帝二年废除诽谤律，封皇子武为代王、参为太原王、揖为梁王。同月丞相陈平薨。这是文帝推行宽政的重要举措。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</si>
  <si>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除诽谤律。皇子武为代王，参为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太原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王，揖为梁王。十月，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丞相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平薨。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</si>
  <si>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178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</si>
  <si>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原文记载文帝二年，即公元前</t>
    </r>
    <r>
      <rPr>
        <sz val="11"/>
        <color theme="1"/>
        <rFont val="Calibri"/>
        <family val="2"/>
        <charset val="1"/>
      </rPr>
      <t xml:space="preserve">178</t>
    </r>
    <r>
      <rPr>
        <sz val="11"/>
        <color theme="1"/>
        <rFont val="思源黑体"/>
        <family val="2"/>
      </rPr>
      <t xml:space="preserve">年</t>
    </r>
  </si>
  <si>
    <t xml:space="preserve">文帝三年，济北王反叛。棘蒲侯陈武为大将军率军讨伐。同年匈奴大入上郡，安丘侯张说将兵出代击胡。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</si>
  <si>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济北王反。匈奴大入上郡。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棘蒲侯陈武为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，击济北。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</si>
  <si>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177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</si>
  <si>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原文记载文帝三年，即公元前</t>
    </r>
    <r>
      <rPr>
        <sz val="11"/>
        <color theme="1"/>
        <rFont val="Calibri"/>
        <family val="2"/>
        <charset val="1"/>
      </rPr>
      <t xml:space="preserve">177</t>
    </r>
    <r>
      <rPr>
        <sz val="11"/>
        <color theme="1"/>
        <rFont val="思源黑体"/>
        <family val="2"/>
      </rPr>
      <t xml:space="preserve">年</t>
    </r>
  </si>
  <si>
    <t xml:space="preserve">文帝十四年，匈奴大规模入侵萧关。朝廷发兵击之，并屯兵长安附近。多位侯者充任将军：东阳侯张相如为大将军，中尉周舍、郎中令张武等屯长安旁。</t>
  </si>
  <si>
    <r>
      <rPr>
        <sz val="11"/>
        <color theme="1"/>
        <rFont val="Calibri"/>
        <family val="2"/>
        <charset val="1"/>
      </rPr>
      <t xml:space="preserve">"&amp;</t>
    </r>
    <r>
      <rPr>
        <sz val="11"/>
        <color theme="1"/>
        <rFont val="思源黑体"/>
        <family val="2"/>
      </rPr>
      <t xml:space="preserve">匈奴</t>
    </r>
    <r>
      <rPr>
        <sz val="11"/>
        <color theme="1"/>
        <rFont val="Calibri"/>
        <family val="2"/>
        <charset val="1"/>
      </rPr>
      <t xml:space="preserve">&amp;</t>
    </r>
    <r>
      <rPr>
        <sz val="11"/>
        <color theme="1"/>
        <rFont val="思源黑体"/>
        <family val="2"/>
      </rPr>
      <t xml:space="preserve">大入萧关，发兵击之，及屯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长安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旁。</t>
    </r>
    <r>
      <rPr>
        <sz val="11"/>
        <color theme="1"/>
        <rFont val="Calibri"/>
        <family val="2"/>
        <charset val="1"/>
      </rPr>
      <t xml:space="preserve">""</t>
    </r>
    <r>
      <rPr>
        <sz val="11"/>
        <color theme="1"/>
        <rFont val="思源黑体"/>
        <family val="2"/>
      </rPr>
      <t xml:space="preserve">东阳侯张相如为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大将军</t>
    </r>
    <r>
      <rPr>
        <sz val="11"/>
        <color theme="1"/>
        <rFont val="Calibri"/>
        <family val="2"/>
        <charset val="1"/>
      </rPr>
      <t xml:space="preserve">$"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</si>
  <si>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166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</si>
  <si>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原文记载文帝十四年，即公元前</t>
    </r>
    <r>
      <rPr>
        <sz val="11"/>
        <color theme="1"/>
        <rFont val="Calibri"/>
        <family val="2"/>
        <charset val="1"/>
      </rPr>
      <t xml:space="preserve">166</t>
    </r>
    <r>
      <rPr>
        <sz val="11"/>
        <color theme="1"/>
        <rFont val="思源黑体"/>
        <family val="2"/>
      </rPr>
      <t xml:space="preserve">年</t>
    </r>
  </si>
  <si>
    <t xml:space="preserve">文帝十三年废除肉刑及田租税律、戍卒令。这是文帝时期最重要的政治改革，大幅减轻百姓负担，为文景之治奠定基础。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</si>
  <si>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除肉刑及田租税律、戍卒令。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</si>
  <si>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</si>
  <si>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原文记载文帝十三年，即公元前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思源黑体"/>
        <family val="2"/>
      </rPr>
      <t xml:space="preserve">年</t>
    </r>
  </si>
  <si>
    <t xml:space="preserve">文帝后六年，匈奴三万入上郡、二万入云中。朝廷部署多路防线：河内守周亚夫军细柳，宗正刘礼军霸上，祝兹侯徐厉军棘门以备胡。数月后匈奴退去。周亚夫以治军严整闻名。</t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</si>
  <si>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河内守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周亚夫</t>
    </r>
    <r>
      <rPr>
        <sz val="11"/>
        <color theme="1"/>
        <rFont val="Calibri"/>
        <family val="2"/>
        <charset val="1"/>
      </rPr>
      <t xml:space="preserve">@</t>
    </r>
    <r>
      <rPr>
        <sz val="11"/>
        <color theme="1"/>
        <rFont val="思源黑体"/>
        <family val="2"/>
      </rPr>
      <t xml:space="preserve">为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将军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，军细柳；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宗正</t>
    </r>
    <r>
      <rPr>
        <sz val="11"/>
        <color theme="1"/>
        <rFont val="Calibri"/>
        <family val="2"/>
        <charset val="1"/>
      </rPr>
      <t xml:space="preserve">$</t>
    </r>
    <r>
      <rPr>
        <sz val="11"/>
        <color theme="1"/>
        <rFont val="思源黑体"/>
        <family val="2"/>
      </rPr>
      <t xml:space="preserve">刘礼军霸上；祝兹侯徐厉军棘门：以备胡。数月，胡去，亦罢。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</si>
  <si>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思源黑体"/>
        <family val="2"/>
      </rPr>
      <t xml:space="preserve">表（前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思源黑体"/>
        <family val="2"/>
      </rPr>
      <t xml:space="preserve">年）</t>
    </r>
  </si>
  <si>
    <r>
      <rPr>
        <sz val="11"/>
        <color theme="1"/>
        <rFont val="思源黑体"/>
        <family val="2"/>
      </rPr>
      <t xml:space="preserve">年表交叉验证：文帝后六年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思源黑体"/>
        <family val="2"/>
      </rPr>
      <t xml:space="preserve">年，见《中国历史大事年表》前</t>
    </r>
    <r>
      <rPr>
        <sz val="11"/>
        <color theme="1"/>
        <rFont val="Calibri"/>
        <family val="2"/>
        <charset val="1"/>
      </rPr>
      <t xml:space="preserve">158</t>
    </r>
    <r>
      <rPr>
        <sz val="11"/>
        <color theme="1"/>
        <rFont val="思源黑体"/>
        <family val="2"/>
      </rPr>
      <t xml:space="preserve">年条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周亚夫屯细柳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思源黑体"/>
        <family val="2"/>
      </rPr>
      <t xml:space="preserve">。原标注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思源黑体"/>
        <family val="2"/>
      </rPr>
      <t xml:space="preserve">约公元前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思源黑体"/>
        <family val="2"/>
      </rPr>
      <t xml:space="preserve">系单锚点塌缩错误，误用前一事件</t>
    </r>
    <r>
      <rPr>
        <sz val="11"/>
        <color theme="1"/>
        <rFont val="Calibri"/>
        <family val="2"/>
        <charset val="1"/>
      </rPr>
      <t xml:space="preserve">022-015(</t>
    </r>
    <r>
      <rPr>
        <sz val="11"/>
        <color theme="1"/>
        <rFont val="思源黑体"/>
        <family val="2"/>
      </rPr>
      <t xml:space="preserve">前</t>
    </r>
    <r>
      <rPr>
        <sz val="11"/>
        <color theme="1"/>
        <rFont val="Calibri"/>
        <family val="2"/>
        <charset val="1"/>
      </rPr>
      <t xml:space="preserve">167</t>
    </r>
    <r>
      <rPr>
        <sz val="11"/>
        <color theme="1"/>
        <rFont val="思源黑体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思源黑体"/>
        <family val="2"/>
      </rPr>
      <t xml:space="preserve">作为插值锚点</t>
    </r>
  </si>
  <si>
    <t xml:space="preserve">事件数</t>
  </si>
  <si>
    <t xml:space="preserve">合计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</si>
</sst>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思源黑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思源黑体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思源黑体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20.01"/>
    <col collapsed="false" customWidth="true" hidden="false" outlineLevel="0" max="3" min="3" style="0" width="9.1"/>
    <col collapsed="false" customWidth="true" hidden="false" outlineLevel="0" max="4" min="4" style="0" width="25.47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0.92"/>
    <col collapsed="false" customWidth="true" hidden="false" outlineLevel="0" max="8" min="8" style="0" width="27.3"/>
    <col collapsed="false" customWidth="true" hidden="false" outlineLevel="0" max="9" min="9" style="0" width="14.5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7.15" hidden="false" customHeight="false" outlineLevel="0" collapsed="false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customFormat="false" ht="17.15" hidden="false" customHeight="false" outlineLevel="0" collapsed="false">
      <c r="A3" s="2" t="s">
        <v>9</v>
      </c>
      <c r="B3" s="3" t="s">
        <v>10</v>
      </c>
      <c r="C3" s="2" t="s">
        <v>18</v>
      </c>
      <c r="D3" s="3" t="s">
        <v>19</v>
      </c>
      <c r="E3" s="3" t="s">
        <v>13</v>
      </c>
      <c r="F3" s="2" t="s">
        <v>20</v>
      </c>
      <c r="G3" s="3" t="e">
        <f aca="false">共和=</f>
        <v>#N/A</v>
      </c>
      <c r="H3" s="2" t="s">
        <v>15</v>
      </c>
      <c r="I3" s="2" t="s">
        <v>15</v>
      </c>
    </row>
    <row r="4" customFormat="false" ht="48.5" hidden="false" customHeight="false" outlineLevel="0" collapsed="false">
      <c r="A4" s="2" t="s">
        <v>9</v>
      </c>
      <c r="B4" s="3" t="s">
        <v>10</v>
      </c>
      <c r="C4" s="2" t="s">
        <v>21</v>
      </c>
      <c r="D4" s="3" t="s">
        <v>22</v>
      </c>
      <c r="E4" s="3" t="s">
        <v>23</v>
      </c>
      <c r="F4" s="3" t="s">
        <v>24</v>
      </c>
      <c r="G4" s="2" t="s">
        <v>15</v>
      </c>
      <c r="H4" s="2" t="s">
        <v>25</v>
      </c>
      <c r="I4" s="2" t="s">
        <v>17</v>
      </c>
    </row>
    <row r="5" customFormat="false" ht="17.15" hidden="false" customHeight="false" outlineLevel="0" collapsed="false">
      <c r="A5" s="2" t="s">
        <v>9</v>
      </c>
      <c r="B5" s="3" t="s">
        <v>10</v>
      </c>
      <c r="C5" s="2" t="s">
        <v>26</v>
      </c>
      <c r="D5" s="3" t="s">
        <v>27</v>
      </c>
      <c r="E5" s="3" t="s">
        <v>23</v>
      </c>
      <c r="F5" s="2" t="s">
        <v>28</v>
      </c>
      <c r="G5" s="2" t="s">
        <v>15</v>
      </c>
      <c r="H5" s="2" t="s">
        <v>29</v>
      </c>
      <c r="I5" s="2" t="s">
        <v>17</v>
      </c>
    </row>
    <row r="6" customFormat="false" ht="17.15" hidden="false" customHeight="false" outlineLevel="0" collapsed="false">
      <c r="A6" s="2" t="s">
        <v>9</v>
      </c>
      <c r="B6" s="3" t="s">
        <v>10</v>
      </c>
      <c r="C6" s="2" t="s">
        <v>30</v>
      </c>
      <c r="D6" s="3" t="s">
        <v>31</v>
      </c>
      <c r="E6" s="3" t="s">
        <v>32</v>
      </c>
      <c r="F6" s="2" t="s">
        <v>33</v>
      </c>
      <c r="G6" s="2" t="s">
        <v>15</v>
      </c>
      <c r="H6" s="2" t="s">
        <v>34</v>
      </c>
      <c r="I6" s="2" t="s">
        <v>17</v>
      </c>
    </row>
    <row r="7" customFormat="false" ht="17.15" hidden="false" customHeight="false" outlineLevel="0" collapsed="false">
      <c r="A7" s="2" t="s">
        <v>9</v>
      </c>
      <c r="B7" s="3" t="s">
        <v>10</v>
      </c>
      <c r="C7" s="2" t="s">
        <v>35</v>
      </c>
      <c r="D7" s="3" t="s">
        <v>36</v>
      </c>
      <c r="E7" s="3" t="s">
        <v>23</v>
      </c>
      <c r="F7" s="2" t="s">
        <v>37</v>
      </c>
      <c r="G7" s="2" t="s">
        <v>15</v>
      </c>
      <c r="H7" s="2" t="s">
        <v>38</v>
      </c>
      <c r="I7" s="2" t="s">
        <v>17</v>
      </c>
    </row>
    <row r="8" customFormat="false" ht="17.15" hidden="false" customHeight="false" outlineLevel="0" collapsed="false">
      <c r="A8" s="2" t="s">
        <v>9</v>
      </c>
      <c r="B8" s="3" t="s">
        <v>10</v>
      </c>
      <c r="C8" s="2" t="s">
        <v>39</v>
      </c>
      <c r="D8" s="3" t="s">
        <v>40</v>
      </c>
      <c r="E8" s="3" t="s">
        <v>41</v>
      </c>
      <c r="F8" s="3" t="s">
        <v>42</v>
      </c>
      <c r="G8" s="2" t="s">
        <v>15</v>
      </c>
      <c r="H8" s="2" t="s">
        <v>43</v>
      </c>
      <c r="I8" s="2" t="s">
        <v>44</v>
      </c>
    </row>
    <row r="9" customFormat="false" ht="17.15" hidden="false" customHeight="false" outlineLevel="0" collapsed="false">
      <c r="A9" s="2" t="s">
        <v>9</v>
      </c>
      <c r="B9" s="3" t="s">
        <v>10</v>
      </c>
      <c r="C9" s="2" t="s">
        <v>45</v>
      </c>
      <c r="D9" s="3" t="s">
        <v>46</v>
      </c>
      <c r="E9" s="3" t="s">
        <v>23</v>
      </c>
      <c r="F9" s="3" t="s">
        <v>47</v>
      </c>
      <c r="G9" s="3" t="e">
        <f aca="false">彘=</f>
        <v>#N/A</v>
      </c>
      <c r="H9" s="2" t="s">
        <v>48</v>
      </c>
      <c r="I9" s="2" t="s">
        <v>17</v>
      </c>
    </row>
    <row r="10" customFormat="false" ht="17.15" hidden="false" customHeight="false" outlineLevel="0" collapsed="false">
      <c r="A10" s="2" t="s">
        <v>9</v>
      </c>
      <c r="B10" s="3" t="s">
        <v>10</v>
      </c>
      <c r="C10" s="2" t="s">
        <v>49</v>
      </c>
      <c r="D10" s="3" t="s">
        <v>50</v>
      </c>
      <c r="E10" s="3" t="s">
        <v>23</v>
      </c>
      <c r="F10" s="3" t="s">
        <v>47</v>
      </c>
      <c r="G10" s="2" t="s">
        <v>15</v>
      </c>
      <c r="H10" s="2" t="s">
        <v>15</v>
      </c>
      <c r="I10" s="2" t="s">
        <v>17</v>
      </c>
    </row>
    <row r="11" customFormat="false" ht="17.15" hidden="false" customHeight="false" outlineLevel="0" collapsed="false">
      <c r="A11" s="2" t="s">
        <v>9</v>
      </c>
      <c r="B11" s="3" t="s">
        <v>10</v>
      </c>
      <c r="C11" s="2" t="s">
        <v>51</v>
      </c>
      <c r="D11" s="3" t="s">
        <v>52</v>
      </c>
      <c r="E11" s="3" t="s">
        <v>53</v>
      </c>
      <c r="F11" s="2" t="s">
        <v>54</v>
      </c>
      <c r="G11" s="3" t="e">
        <f aca="false">玄丘=</f>
        <v>#N/A</v>
      </c>
      <c r="H11" s="2" t="s">
        <v>55</v>
      </c>
      <c r="I11" s="2" t="s">
        <v>56</v>
      </c>
    </row>
    <row r="12" customFormat="false" ht="17.15" hidden="false" customHeight="false" outlineLevel="0" collapsed="false">
      <c r="A12" s="2" t="s">
        <v>9</v>
      </c>
      <c r="B12" s="3" t="s">
        <v>10</v>
      </c>
      <c r="C12" s="2" t="s">
        <v>57</v>
      </c>
      <c r="D12" s="3" t="s">
        <v>58</v>
      </c>
      <c r="E12" s="3" t="s">
        <v>53</v>
      </c>
      <c r="F12" s="2" t="s">
        <v>54</v>
      </c>
      <c r="G12" s="2" t="s">
        <v>15</v>
      </c>
      <c r="H12" s="2" t="s">
        <v>59</v>
      </c>
      <c r="I12" s="2" t="s">
        <v>17</v>
      </c>
    </row>
    <row r="13" customFormat="false" ht="17.15" hidden="false" customHeight="false" outlineLevel="0" collapsed="false">
      <c r="A13" s="2" t="s">
        <v>9</v>
      </c>
      <c r="B13" s="3" t="s">
        <v>10</v>
      </c>
      <c r="C13" s="2" t="s">
        <v>60</v>
      </c>
      <c r="D13" s="3" t="s">
        <v>61</v>
      </c>
      <c r="E13" s="3" t="s">
        <v>23</v>
      </c>
      <c r="F13" s="2" t="s">
        <v>62</v>
      </c>
      <c r="G13" s="2" t="s">
        <v>15</v>
      </c>
      <c r="H13" s="2" t="s">
        <v>63</v>
      </c>
      <c r="I13" s="2" t="s">
        <v>56</v>
      </c>
    </row>
    <row r="14" customFormat="false" ht="17.15" hidden="false" customHeight="false" outlineLevel="0" collapsed="false">
      <c r="A14" s="2" t="s">
        <v>9</v>
      </c>
      <c r="B14" s="3" t="s">
        <v>10</v>
      </c>
      <c r="C14" s="2" t="s">
        <v>64</v>
      </c>
      <c r="D14" s="3" t="s">
        <v>65</v>
      </c>
      <c r="E14" s="3" t="s">
        <v>23</v>
      </c>
      <c r="F14" s="2" t="s">
        <v>66</v>
      </c>
      <c r="G14" s="2" t="s">
        <v>15</v>
      </c>
      <c r="H14" s="2" t="s">
        <v>67</v>
      </c>
      <c r="I14" s="2" t="s">
        <v>17</v>
      </c>
    </row>
    <row r="15" customFormat="false" ht="17.15" hidden="false" customHeight="false" outlineLevel="0" collapsed="false">
      <c r="A15" s="2" t="s">
        <v>9</v>
      </c>
      <c r="B15" s="3" t="s">
        <v>10</v>
      </c>
      <c r="C15" s="2" t="s">
        <v>68</v>
      </c>
      <c r="D15" s="3" t="s">
        <v>69</v>
      </c>
      <c r="E15" s="3" t="s">
        <v>23</v>
      </c>
      <c r="F15" s="3" t="s">
        <v>70</v>
      </c>
      <c r="G15" s="2" t="s">
        <v>71</v>
      </c>
      <c r="H15" s="2" t="s">
        <v>72</v>
      </c>
      <c r="I15" s="2" t="s">
        <v>17</v>
      </c>
    </row>
    <row r="16" customFormat="false" ht="17.15" hidden="false" customHeight="false" outlineLevel="0" collapsed="false">
      <c r="A16" s="2" t="s">
        <v>9</v>
      </c>
      <c r="B16" s="3" t="s">
        <v>10</v>
      </c>
      <c r="C16" s="2" t="s">
        <v>73</v>
      </c>
      <c r="D16" s="3" t="s">
        <v>74</v>
      </c>
      <c r="E16" s="3" t="s">
        <v>75</v>
      </c>
      <c r="F16" s="3" t="s">
        <v>76</v>
      </c>
      <c r="G16" s="2" t="s">
        <v>71</v>
      </c>
      <c r="H16" s="2" t="s">
        <v>77</v>
      </c>
      <c r="I16" s="2" t="s">
        <v>78</v>
      </c>
    </row>
    <row r="17" customFormat="false" ht="17.15" hidden="false" customHeight="false" outlineLevel="0" collapsed="false">
      <c r="A17" s="2" t="s">
        <v>9</v>
      </c>
      <c r="B17" s="3" t="s">
        <v>10</v>
      </c>
      <c r="C17" s="2" t="s">
        <v>79</v>
      </c>
      <c r="D17" s="3" t="s">
        <v>80</v>
      </c>
      <c r="E17" s="3" t="s">
        <v>23</v>
      </c>
      <c r="F17" s="3" t="s">
        <v>81</v>
      </c>
      <c r="G17" s="3" t="e">
        <f aca="false">平阳=</f>
        <v>#N/A</v>
      </c>
      <c r="H17" s="2" t="s">
        <v>82</v>
      </c>
      <c r="I17" s="2" t="s">
        <v>83</v>
      </c>
    </row>
    <row r="18" customFormat="false" ht="17.15" hidden="false" customHeight="false" outlineLevel="0" collapsed="false">
      <c r="A18" s="2" t="s">
        <v>84</v>
      </c>
      <c r="B18" s="3" t="s">
        <v>85</v>
      </c>
      <c r="C18" s="2" t="s">
        <v>86</v>
      </c>
      <c r="D18" s="3" t="s">
        <v>87</v>
      </c>
      <c r="E18" s="3" t="s">
        <v>23</v>
      </c>
      <c r="F18" s="2" t="s">
        <v>88</v>
      </c>
      <c r="G18" s="2" t="s">
        <v>15</v>
      </c>
      <c r="H18" s="2" t="s">
        <v>89</v>
      </c>
      <c r="I18" s="2" t="s">
        <v>56</v>
      </c>
    </row>
    <row r="19" customFormat="false" ht="17.15" hidden="false" customHeight="false" outlineLevel="0" collapsed="false">
      <c r="A19" s="2" t="s">
        <v>84</v>
      </c>
      <c r="B19" s="3" t="s">
        <v>85</v>
      </c>
      <c r="C19" s="2" t="s">
        <v>90</v>
      </c>
      <c r="D19" s="3" t="s">
        <v>91</v>
      </c>
      <c r="E19" s="3" t="s">
        <v>23</v>
      </c>
      <c r="F19" s="3" t="s">
        <v>47</v>
      </c>
      <c r="G19" s="3" t="e">
        <f aca="false">彘=</f>
        <v>#N/A</v>
      </c>
      <c r="H19" s="2" t="s">
        <v>92</v>
      </c>
      <c r="I19" s="2" t="s">
        <v>17</v>
      </c>
    </row>
    <row r="20" customFormat="false" ht="32.8" hidden="false" customHeight="false" outlineLevel="0" collapsed="false">
      <c r="A20" s="2" t="s">
        <v>84</v>
      </c>
      <c r="B20" s="3" t="s">
        <v>85</v>
      </c>
      <c r="C20" s="2" t="s">
        <v>93</v>
      </c>
      <c r="D20" s="3" t="s">
        <v>94</v>
      </c>
      <c r="E20" s="3" t="s">
        <v>23</v>
      </c>
      <c r="F20" s="2" t="s">
        <v>95</v>
      </c>
      <c r="G20" s="2" t="s">
        <v>15</v>
      </c>
      <c r="H20" s="2" t="s">
        <v>15</v>
      </c>
      <c r="I20" s="2" t="s">
        <v>96</v>
      </c>
    </row>
    <row r="21" customFormat="false" ht="17.15" hidden="false" customHeight="false" outlineLevel="0" collapsed="false">
      <c r="A21" s="2" t="s">
        <v>84</v>
      </c>
      <c r="B21" s="3" t="s">
        <v>85</v>
      </c>
      <c r="C21" s="2" t="s">
        <v>97</v>
      </c>
      <c r="D21" s="3" t="s">
        <v>98</v>
      </c>
      <c r="E21" s="3" t="s">
        <v>13</v>
      </c>
      <c r="F21" s="3" t="s">
        <v>14</v>
      </c>
      <c r="G21" s="2" t="s">
        <v>99</v>
      </c>
      <c r="H21" s="2" t="s">
        <v>16</v>
      </c>
      <c r="I21" s="2" t="s">
        <v>17</v>
      </c>
    </row>
    <row r="22" customFormat="false" ht="17.15" hidden="false" customHeight="false" outlineLevel="0" collapsed="false">
      <c r="A22" s="2" t="s">
        <v>84</v>
      </c>
      <c r="B22" s="3" t="s">
        <v>85</v>
      </c>
      <c r="C22" s="2" t="s">
        <v>100</v>
      </c>
      <c r="D22" s="3" t="s">
        <v>101</v>
      </c>
      <c r="E22" s="3" t="s">
        <v>13</v>
      </c>
      <c r="F22" s="2" t="s">
        <v>102</v>
      </c>
      <c r="G22" s="2" t="s">
        <v>99</v>
      </c>
      <c r="H22" s="2" t="s">
        <v>103</v>
      </c>
      <c r="I22" s="2" t="s">
        <v>99</v>
      </c>
    </row>
    <row r="23" customFormat="false" ht="17.15" hidden="false" customHeight="false" outlineLevel="0" collapsed="false">
      <c r="A23" s="2" t="s">
        <v>84</v>
      </c>
      <c r="B23" s="3" t="s">
        <v>85</v>
      </c>
      <c r="C23" s="2" t="s">
        <v>104</v>
      </c>
      <c r="D23" s="3" t="s">
        <v>105</v>
      </c>
      <c r="E23" s="3" t="s">
        <v>13</v>
      </c>
      <c r="F23" s="2" t="s">
        <v>106</v>
      </c>
      <c r="G23" s="2" t="s">
        <v>15</v>
      </c>
      <c r="H23" s="2" t="s">
        <v>107</v>
      </c>
      <c r="I23" s="2" t="s">
        <v>108</v>
      </c>
    </row>
    <row r="24" customFormat="false" ht="17.15" hidden="false" customHeight="false" outlineLevel="0" collapsed="false">
      <c r="A24" s="2" t="s">
        <v>84</v>
      </c>
      <c r="B24" s="3" t="s">
        <v>85</v>
      </c>
      <c r="C24" s="2" t="s">
        <v>109</v>
      </c>
      <c r="D24" s="3" t="s">
        <v>110</v>
      </c>
      <c r="E24" s="3" t="s">
        <v>13</v>
      </c>
      <c r="F24" s="2" t="s">
        <v>111</v>
      </c>
      <c r="G24" s="2" t="s">
        <v>15</v>
      </c>
      <c r="H24" s="2" t="s">
        <v>112</v>
      </c>
      <c r="I24" s="2" t="s">
        <v>113</v>
      </c>
    </row>
    <row r="25" customFormat="false" ht="17.15" hidden="false" customHeight="false" outlineLevel="0" collapsed="false">
      <c r="A25" s="2" t="s">
        <v>84</v>
      </c>
      <c r="B25" s="3" t="s">
        <v>85</v>
      </c>
      <c r="C25" s="2" t="s">
        <v>114</v>
      </c>
      <c r="D25" s="3" t="s">
        <v>115</v>
      </c>
      <c r="E25" s="3" t="s">
        <v>13</v>
      </c>
      <c r="F25" s="2" t="s">
        <v>116</v>
      </c>
      <c r="G25" s="2" t="s">
        <v>15</v>
      </c>
      <c r="H25" s="2" t="s">
        <v>117</v>
      </c>
      <c r="I25" s="2" t="s">
        <v>118</v>
      </c>
    </row>
    <row r="26" customFormat="false" ht="17.15" hidden="false" customHeight="false" outlineLevel="0" collapsed="false">
      <c r="A26" s="2" t="s">
        <v>84</v>
      </c>
      <c r="B26" s="3" t="s">
        <v>85</v>
      </c>
      <c r="C26" s="2" t="s">
        <v>119</v>
      </c>
      <c r="D26" s="3" t="s">
        <v>120</v>
      </c>
      <c r="E26" s="3" t="s">
        <v>23</v>
      </c>
      <c r="F26" s="2" t="s">
        <v>121</v>
      </c>
      <c r="G26" s="2" t="s">
        <v>15</v>
      </c>
      <c r="H26" s="2" t="s">
        <v>15</v>
      </c>
      <c r="I26" s="2" t="s">
        <v>17</v>
      </c>
    </row>
    <row r="27" customFormat="false" ht="32.8" hidden="false" customHeight="false" outlineLevel="0" collapsed="false">
      <c r="A27" s="2" t="s">
        <v>84</v>
      </c>
      <c r="B27" s="3" t="s">
        <v>85</v>
      </c>
      <c r="C27" s="2" t="s">
        <v>122</v>
      </c>
      <c r="D27" s="3" t="s">
        <v>123</v>
      </c>
      <c r="E27" s="3" t="s">
        <v>124</v>
      </c>
      <c r="F27" s="2" t="s">
        <v>125</v>
      </c>
      <c r="G27" s="2" t="s">
        <v>15</v>
      </c>
      <c r="H27" s="2" t="s">
        <v>126</v>
      </c>
      <c r="I27" s="2" t="s">
        <v>17</v>
      </c>
    </row>
    <row r="28" customFormat="false" ht="17.15" hidden="false" customHeight="false" outlineLevel="0" collapsed="false">
      <c r="A28" s="2" t="s">
        <v>84</v>
      </c>
      <c r="B28" s="3" t="s">
        <v>85</v>
      </c>
      <c r="C28" s="2" t="s">
        <v>127</v>
      </c>
      <c r="D28" s="3" t="s">
        <v>128</v>
      </c>
      <c r="E28" s="3" t="s">
        <v>41</v>
      </c>
      <c r="F28" s="2" t="s">
        <v>129</v>
      </c>
      <c r="G28" s="2" t="s">
        <v>99</v>
      </c>
      <c r="H28" s="2" t="s">
        <v>126</v>
      </c>
      <c r="I28" s="2" t="s">
        <v>130</v>
      </c>
    </row>
    <row r="29" customFormat="false" ht="17.15" hidden="false" customHeight="false" outlineLevel="0" collapsed="false">
      <c r="A29" s="2" t="s">
        <v>84</v>
      </c>
      <c r="B29" s="3" t="s">
        <v>85</v>
      </c>
      <c r="C29" s="2" t="s">
        <v>131</v>
      </c>
      <c r="D29" s="3" t="s">
        <v>132</v>
      </c>
      <c r="E29" s="3" t="s">
        <v>23</v>
      </c>
      <c r="F29" s="3" t="s">
        <v>133</v>
      </c>
      <c r="G29" s="2" t="s">
        <v>15</v>
      </c>
      <c r="H29" s="2" t="s">
        <v>134</v>
      </c>
      <c r="I29" s="2" t="s">
        <v>135</v>
      </c>
    </row>
    <row r="30" customFormat="false" ht="17.15" hidden="false" customHeight="false" outlineLevel="0" collapsed="false">
      <c r="A30" s="2" t="s">
        <v>136</v>
      </c>
      <c r="B30" s="3" t="s">
        <v>137</v>
      </c>
      <c r="C30" s="2" t="s">
        <v>138</v>
      </c>
      <c r="D30" s="3" t="s">
        <v>139</v>
      </c>
      <c r="E30" s="3" t="s">
        <v>75</v>
      </c>
      <c r="F30" s="3" t="s">
        <v>140</v>
      </c>
      <c r="G30" s="3" t="e">
        <f aca="false">洛邑=</f>
        <v>#N/A</v>
      </c>
      <c r="H30" s="2" t="s">
        <v>141</v>
      </c>
      <c r="I30" s="2" t="s">
        <v>17</v>
      </c>
    </row>
    <row r="31" customFormat="false" ht="17.15" hidden="false" customHeight="false" outlineLevel="0" collapsed="false">
      <c r="A31" s="2" t="s">
        <v>136</v>
      </c>
      <c r="B31" s="3" t="s">
        <v>137</v>
      </c>
      <c r="C31" s="2" t="s">
        <v>142</v>
      </c>
      <c r="D31" s="3" t="s">
        <v>143</v>
      </c>
      <c r="E31" s="3" t="s">
        <v>124</v>
      </c>
      <c r="F31" s="3" t="s">
        <v>144</v>
      </c>
      <c r="G31" s="2" t="s">
        <v>15</v>
      </c>
      <c r="H31" s="2" t="s">
        <v>145</v>
      </c>
      <c r="I31" s="2" t="s">
        <v>118</v>
      </c>
    </row>
    <row r="32" customFormat="false" ht="17.15" hidden="false" customHeight="false" outlineLevel="0" collapsed="false">
      <c r="A32" s="2" t="s">
        <v>136</v>
      </c>
      <c r="B32" s="3" t="s">
        <v>137</v>
      </c>
      <c r="C32" s="2" t="s">
        <v>146</v>
      </c>
      <c r="D32" s="3" t="s">
        <v>147</v>
      </c>
      <c r="E32" s="3" t="s">
        <v>75</v>
      </c>
      <c r="F32" s="3" t="s">
        <v>148</v>
      </c>
      <c r="G32" s="3" t="e">
        <f aca="false">陇=</f>
        <v>#N/A</v>
      </c>
      <c r="H32" s="2" t="s">
        <v>149</v>
      </c>
      <c r="I32" s="2" t="s">
        <v>118</v>
      </c>
    </row>
    <row r="33" customFormat="false" ht="17.15" hidden="false" customHeight="false" outlineLevel="0" collapsed="false">
      <c r="A33" s="2" t="s">
        <v>136</v>
      </c>
      <c r="B33" s="3" t="s">
        <v>137</v>
      </c>
      <c r="C33" s="2" t="s">
        <v>150</v>
      </c>
      <c r="D33" s="3" t="s">
        <v>151</v>
      </c>
      <c r="E33" s="3" t="s">
        <v>32</v>
      </c>
      <c r="F33" s="2" t="s">
        <v>152</v>
      </c>
      <c r="G33" s="3" t="e">
        <f aca="false">河=</f>
        <v>#N/A</v>
      </c>
      <c r="H33" s="2" t="s">
        <v>153</v>
      </c>
      <c r="I33" s="2" t="s">
        <v>118</v>
      </c>
    </row>
    <row r="34" customFormat="false" ht="17.15" hidden="false" customHeight="false" outlineLevel="0" collapsed="false">
      <c r="A34" s="2" t="s">
        <v>136</v>
      </c>
      <c r="B34" s="3" t="s">
        <v>137</v>
      </c>
      <c r="C34" s="2" t="s">
        <v>154</v>
      </c>
      <c r="D34" s="3" t="s">
        <v>155</v>
      </c>
      <c r="E34" s="3" t="s">
        <v>41</v>
      </c>
      <c r="F34" s="3" t="s">
        <v>14</v>
      </c>
      <c r="G34" s="2" t="s">
        <v>15</v>
      </c>
      <c r="H34" s="2" t="s">
        <v>156</v>
      </c>
      <c r="I34" s="2" t="s">
        <v>44</v>
      </c>
    </row>
    <row r="35" customFormat="false" ht="17.15" hidden="false" customHeight="false" outlineLevel="0" collapsed="false">
      <c r="A35" s="2" t="s">
        <v>136</v>
      </c>
      <c r="B35" s="3" t="s">
        <v>137</v>
      </c>
      <c r="C35" s="2" t="s">
        <v>157</v>
      </c>
      <c r="D35" s="3" t="s">
        <v>158</v>
      </c>
      <c r="E35" s="3" t="s">
        <v>23</v>
      </c>
      <c r="F35" s="3" t="s">
        <v>159</v>
      </c>
      <c r="G35" s="2" t="s">
        <v>15</v>
      </c>
      <c r="H35" s="2" t="s">
        <v>160</v>
      </c>
      <c r="I35" s="2" t="s">
        <v>161</v>
      </c>
    </row>
    <row r="36" customFormat="false" ht="17.15" hidden="false" customHeight="false" outlineLevel="0" collapsed="false">
      <c r="A36" s="2" t="s">
        <v>136</v>
      </c>
      <c r="B36" s="3" t="s">
        <v>137</v>
      </c>
      <c r="C36" s="2" t="s">
        <v>162</v>
      </c>
      <c r="D36" s="3" t="s">
        <v>163</v>
      </c>
      <c r="E36" s="3" t="s">
        <v>13</v>
      </c>
      <c r="F36" s="3" t="s">
        <v>164</v>
      </c>
      <c r="G36" s="2" t="s">
        <v>15</v>
      </c>
      <c r="H36" s="2" t="s">
        <v>15</v>
      </c>
      <c r="I36" s="2" t="s">
        <v>118</v>
      </c>
    </row>
    <row r="37" customFormat="false" ht="17.15" hidden="false" customHeight="false" outlineLevel="0" collapsed="false">
      <c r="A37" s="2" t="s">
        <v>136</v>
      </c>
      <c r="B37" s="3" t="s">
        <v>137</v>
      </c>
      <c r="C37" s="2" t="s">
        <v>165</v>
      </c>
      <c r="D37" s="3" t="s">
        <v>166</v>
      </c>
      <c r="E37" s="3" t="s">
        <v>75</v>
      </c>
      <c r="F37" s="3" t="s">
        <v>167</v>
      </c>
      <c r="G37" s="2" t="s">
        <v>15</v>
      </c>
      <c r="H37" s="2" t="s">
        <v>168</v>
      </c>
      <c r="I37" s="2" t="s">
        <v>113</v>
      </c>
    </row>
    <row r="38" customFormat="false" ht="32.8" hidden="false" customHeight="false" outlineLevel="0" collapsed="false">
      <c r="A38" s="2" t="s">
        <v>136</v>
      </c>
      <c r="B38" s="3" t="s">
        <v>137</v>
      </c>
      <c r="C38" s="2" t="s">
        <v>169</v>
      </c>
      <c r="D38" s="3" t="s">
        <v>170</v>
      </c>
      <c r="E38" s="3" t="s">
        <v>75</v>
      </c>
      <c r="F38" s="2" t="s">
        <v>171</v>
      </c>
      <c r="G38" s="3" t="e">
        <f aca="false">晋阳=</f>
        <v>#N/A</v>
      </c>
      <c r="H38" s="2" t="s">
        <v>168</v>
      </c>
      <c r="I38" s="2" t="s">
        <v>172</v>
      </c>
    </row>
    <row r="39" customFormat="false" ht="32.8" hidden="false" customHeight="false" outlineLevel="0" collapsed="false">
      <c r="A39" s="2" t="s">
        <v>136</v>
      </c>
      <c r="B39" s="3" t="s">
        <v>137</v>
      </c>
      <c r="C39" s="2" t="s">
        <v>173</v>
      </c>
      <c r="D39" s="3" t="s">
        <v>174</v>
      </c>
      <c r="E39" s="3" t="s">
        <v>23</v>
      </c>
      <c r="F39" s="2" t="s">
        <v>175</v>
      </c>
      <c r="G39" s="2" t="s">
        <v>15</v>
      </c>
      <c r="H39" s="2" t="s">
        <v>15</v>
      </c>
      <c r="I39" s="2" t="s">
        <v>176</v>
      </c>
    </row>
    <row r="40" customFormat="false" ht="32.8" hidden="false" customHeight="false" outlineLevel="0" collapsed="false">
      <c r="A40" s="2" t="s">
        <v>136</v>
      </c>
      <c r="B40" s="3" t="s">
        <v>137</v>
      </c>
      <c r="C40" s="2" t="s">
        <v>177</v>
      </c>
      <c r="D40" s="3" t="s">
        <v>178</v>
      </c>
      <c r="E40" s="3" t="s">
        <v>32</v>
      </c>
      <c r="F40" s="2" t="s">
        <v>179</v>
      </c>
      <c r="G40" s="2" t="s">
        <v>15</v>
      </c>
      <c r="H40" s="2" t="s">
        <v>180</v>
      </c>
      <c r="I40" s="2" t="s">
        <v>118</v>
      </c>
    </row>
    <row r="41" customFormat="false" ht="17.15" hidden="false" customHeight="false" outlineLevel="0" collapsed="false">
      <c r="A41" s="2" t="s">
        <v>136</v>
      </c>
      <c r="B41" s="3" t="s">
        <v>137</v>
      </c>
      <c r="C41" s="2" t="s">
        <v>181</v>
      </c>
      <c r="D41" s="3" t="s">
        <v>182</v>
      </c>
      <c r="E41" s="3" t="s">
        <v>23</v>
      </c>
      <c r="F41" s="2" t="s">
        <v>183</v>
      </c>
      <c r="G41" s="3" t="e">
        <f aca="false">徐州=</f>
        <v>#N/A</v>
      </c>
      <c r="H41" s="2" t="s">
        <v>15</v>
      </c>
      <c r="I41" s="2" t="s">
        <v>184</v>
      </c>
    </row>
    <row r="42" customFormat="false" ht="48.5" hidden="false" customHeight="false" outlineLevel="0" collapsed="false">
      <c r="A42" s="2" t="s">
        <v>136</v>
      </c>
      <c r="B42" s="3" t="s">
        <v>137</v>
      </c>
      <c r="C42" s="2" t="s">
        <v>185</v>
      </c>
      <c r="D42" s="3" t="s">
        <v>186</v>
      </c>
      <c r="E42" s="3" t="s">
        <v>75</v>
      </c>
      <c r="F42" s="2" t="s">
        <v>187</v>
      </c>
      <c r="G42" s="2" t="s">
        <v>15</v>
      </c>
      <c r="H42" s="2" t="s">
        <v>15</v>
      </c>
      <c r="I42" s="2" t="s">
        <v>188</v>
      </c>
    </row>
    <row r="43" customFormat="false" ht="17.15" hidden="false" customHeight="false" outlineLevel="0" collapsed="false">
      <c r="A43" s="2" t="s">
        <v>136</v>
      </c>
      <c r="B43" s="3" t="s">
        <v>137</v>
      </c>
      <c r="C43" s="2" t="s">
        <v>189</v>
      </c>
      <c r="D43" s="3" t="s">
        <v>190</v>
      </c>
      <c r="E43" s="3" t="s">
        <v>75</v>
      </c>
      <c r="F43" s="2" t="s">
        <v>191</v>
      </c>
      <c r="G43" s="2" t="s">
        <v>15</v>
      </c>
      <c r="H43" s="2" t="s">
        <v>15</v>
      </c>
      <c r="I43" s="2" t="s">
        <v>118</v>
      </c>
    </row>
    <row r="44" customFormat="false" ht="32.8" hidden="false" customHeight="false" outlineLevel="0" collapsed="false">
      <c r="A44" s="2" t="s">
        <v>136</v>
      </c>
      <c r="B44" s="3" t="s">
        <v>137</v>
      </c>
      <c r="C44" s="2" t="s">
        <v>192</v>
      </c>
      <c r="D44" s="3" t="s">
        <v>193</v>
      </c>
      <c r="E44" s="3" t="s">
        <v>32</v>
      </c>
      <c r="F44" s="2" t="s">
        <v>194</v>
      </c>
      <c r="G44" s="2" t="s">
        <v>15</v>
      </c>
      <c r="H44" s="2" t="s">
        <v>15</v>
      </c>
      <c r="I44" s="2" t="s">
        <v>118</v>
      </c>
    </row>
    <row r="45" customFormat="false" ht="32.8" hidden="false" customHeight="false" outlineLevel="0" collapsed="false">
      <c r="A45" s="2" t="s">
        <v>136</v>
      </c>
      <c r="B45" s="3" t="s">
        <v>137</v>
      </c>
      <c r="C45" s="2" t="s">
        <v>195</v>
      </c>
      <c r="D45" s="3" t="s">
        <v>196</v>
      </c>
      <c r="E45" s="3" t="s">
        <v>197</v>
      </c>
      <c r="F45" s="2" t="s">
        <v>198</v>
      </c>
      <c r="G45" s="2" t="s">
        <v>15</v>
      </c>
      <c r="H45" s="2" t="s">
        <v>199</v>
      </c>
      <c r="I45" s="2" t="s">
        <v>113</v>
      </c>
    </row>
    <row r="46" customFormat="false" ht="17.15" hidden="false" customHeight="false" outlineLevel="0" collapsed="false">
      <c r="A46" s="2" t="s">
        <v>136</v>
      </c>
      <c r="B46" s="3" t="s">
        <v>137</v>
      </c>
      <c r="C46" s="2" t="s">
        <v>200</v>
      </c>
      <c r="D46" s="3" t="s">
        <v>201</v>
      </c>
      <c r="E46" s="3" t="s">
        <v>75</v>
      </c>
      <c r="F46" s="2" t="s">
        <v>202</v>
      </c>
      <c r="G46" s="3" t="e">
        <f aca="false">伊阙=</f>
        <v>#N/A</v>
      </c>
      <c r="H46" s="2" t="s">
        <v>203</v>
      </c>
      <c r="I46" s="2" t="s">
        <v>118</v>
      </c>
    </row>
    <row r="47" customFormat="false" ht="48.5" hidden="false" customHeight="false" outlineLevel="0" collapsed="false">
      <c r="A47" s="2" t="s">
        <v>136</v>
      </c>
      <c r="B47" s="3" t="s">
        <v>137</v>
      </c>
      <c r="C47" s="2" t="s">
        <v>204</v>
      </c>
      <c r="D47" s="3" t="s">
        <v>205</v>
      </c>
      <c r="E47" s="3" t="s">
        <v>75</v>
      </c>
      <c r="F47" s="2" t="s">
        <v>206</v>
      </c>
      <c r="G47" s="3" t="e">
        <f aca="false">临菑=</f>
        <v>#N/A</v>
      </c>
      <c r="H47" s="2" t="s">
        <v>15</v>
      </c>
      <c r="I47" s="2" t="s">
        <v>207</v>
      </c>
    </row>
    <row r="48" customFormat="false" ht="17.15" hidden="false" customHeight="false" outlineLevel="0" collapsed="false">
      <c r="A48" s="2" t="s">
        <v>136</v>
      </c>
      <c r="B48" s="3" t="s">
        <v>137</v>
      </c>
      <c r="C48" s="2" t="s">
        <v>208</v>
      </c>
      <c r="D48" s="3" t="s">
        <v>209</v>
      </c>
      <c r="E48" s="3" t="s">
        <v>75</v>
      </c>
      <c r="F48" s="2" t="s">
        <v>210</v>
      </c>
      <c r="G48" s="3" t="e">
        <f aca="false">郢=</f>
        <v>#N/A</v>
      </c>
      <c r="H48" s="2" t="s">
        <v>203</v>
      </c>
      <c r="I48" s="2" t="s">
        <v>211</v>
      </c>
    </row>
    <row r="49" customFormat="false" ht="17.15" hidden="false" customHeight="false" outlineLevel="0" collapsed="false">
      <c r="A49" s="2" t="s">
        <v>136</v>
      </c>
      <c r="B49" s="3" t="s">
        <v>137</v>
      </c>
      <c r="C49" s="2" t="s">
        <v>212</v>
      </c>
      <c r="D49" s="3" t="s">
        <v>213</v>
      </c>
      <c r="E49" s="3" t="s">
        <v>75</v>
      </c>
      <c r="F49" s="2" t="s">
        <v>214</v>
      </c>
      <c r="G49" s="3" t="e">
        <f aca="false">长平=</f>
        <v>#N/A</v>
      </c>
      <c r="H49" s="2" t="s">
        <v>215</v>
      </c>
      <c r="I49" s="2" t="s">
        <v>216</v>
      </c>
    </row>
    <row r="50" customFormat="false" ht="17.15" hidden="false" customHeight="false" outlineLevel="0" collapsed="false">
      <c r="A50" s="2" t="s">
        <v>136</v>
      </c>
      <c r="B50" s="3" t="s">
        <v>137</v>
      </c>
      <c r="C50" s="2" t="s">
        <v>217</v>
      </c>
      <c r="D50" s="3" t="s">
        <v>218</v>
      </c>
      <c r="E50" s="3" t="s">
        <v>75</v>
      </c>
      <c r="F50" s="2" t="s">
        <v>219</v>
      </c>
      <c r="G50" s="3" t="e">
        <f aca="false">邯郸=</f>
        <v>#N/A</v>
      </c>
      <c r="H50" s="2" t="s">
        <v>220</v>
      </c>
      <c r="I50" s="2" t="s">
        <v>221</v>
      </c>
    </row>
    <row r="51" customFormat="false" ht="17.15" hidden="false" customHeight="false" outlineLevel="0" collapsed="false">
      <c r="A51" s="2" t="s">
        <v>136</v>
      </c>
      <c r="B51" s="3" t="s">
        <v>137</v>
      </c>
      <c r="C51" s="2" t="s">
        <v>222</v>
      </c>
      <c r="D51" s="3" t="s">
        <v>223</v>
      </c>
      <c r="E51" s="3" t="s">
        <v>75</v>
      </c>
      <c r="F51" s="2" t="s">
        <v>224</v>
      </c>
      <c r="G51" s="3" t="e">
        <f aca="false">颍川=</f>
        <v>#N/A</v>
      </c>
      <c r="H51" s="2" t="s">
        <v>15</v>
      </c>
      <c r="I51" s="2" t="s">
        <v>225</v>
      </c>
    </row>
    <row r="52" customFormat="false" ht="17.15" hidden="false" customHeight="false" outlineLevel="0" collapsed="false">
      <c r="A52" s="2" t="s">
        <v>136</v>
      </c>
      <c r="B52" s="3" t="s">
        <v>137</v>
      </c>
      <c r="C52" s="2" t="s">
        <v>226</v>
      </c>
      <c r="D52" s="3" t="s">
        <v>227</v>
      </c>
      <c r="E52" s="3" t="s">
        <v>75</v>
      </c>
      <c r="F52" s="2" t="s">
        <v>228</v>
      </c>
      <c r="G52" s="3" t="e">
        <f aca="false">邯郸=</f>
        <v>#N/A</v>
      </c>
      <c r="H52" s="2" t="s">
        <v>229</v>
      </c>
      <c r="I52" s="2" t="s">
        <v>216</v>
      </c>
    </row>
    <row r="53" customFormat="false" ht="17.15" hidden="false" customHeight="false" outlineLevel="0" collapsed="false">
      <c r="A53" s="2" t="s">
        <v>136</v>
      </c>
      <c r="B53" s="3" t="s">
        <v>137</v>
      </c>
      <c r="C53" s="2" t="s">
        <v>230</v>
      </c>
      <c r="D53" s="3" t="s">
        <v>231</v>
      </c>
      <c r="E53" s="3" t="s">
        <v>23</v>
      </c>
      <c r="F53" s="2" t="s">
        <v>232</v>
      </c>
      <c r="G53" s="2" t="s">
        <v>15</v>
      </c>
      <c r="H53" s="2" t="s">
        <v>233</v>
      </c>
      <c r="I53" s="2" t="s">
        <v>234</v>
      </c>
    </row>
    <row r="54" customFormat="false" ht="17.15" hidden="false" customHeight="false" outlineLevel="0" collapsed="false">
      <c r="A54" s="2" t="s">
        <v>136</v>
      </c>
      <c r="B54" s="3" t="s">
        <v>137</v>
      </c>
      <c r="C54" s="2" t="s">
        <v>235</v>
      </c>
      <c r="D54" s="3" t="s">
        <v>236</v>
      </c>
      <c r="E54" s="3" t="s">
        <v>75</v>
      </c>
      <c r="F54" s="2" t="s">
        <v>237</v>
      </c>
      <c r="G54" s="2" t="s">
        <v>15</v>
      </c>
      <c r="H54" s="2" t="s">
        <v>238</v>
      </c>
      <c r="I54" s="2" t="s">
        <v>239</v>
      </c>
    </row>
    <row r="55" customFormat="false" ht="17.15" hidden="false" customHeight="false" outlineLevel="0" collapsed="false">
      <c r="A55" s="2" t="s">
        <v>136</v>
      </c>
      <c r="B55" s="3" t="s">
        <v>137</v>
      </c>
      <c r="C55" s="2" t="s">
        <v>240</v>
      </c>
      <c r="D55" s="3" t="s">
        <v>241</v>
      </c>
      <c r="E55" s="3" t="s">
        <v>75</v>
      </c>
      <c r="F55" s="2" t="s">
        <v>242</v>
      </c>
      <c r="G55" s="2" t="s">
        <v>15</v>
      </c>
      <c r="H55" s="2" t="s">
        <v>243</v>
      </c>
      <c r="I55" s="2" t="s">
        <v>211</v>
      </c>
    </row>
    <row r="56" customFormat="false" ht="17.15" hidden="false" customHeight="false" outlineLevel="0" collapsed="false">
      <c r="A56" s="2" t="s">
        <v>136</v>
      </c>
      <c r="B56" s="3" t="s">
        <v>137</v>
      </c>
      <c r="C56" s="2" t="s">
        <v>244</v>
      </c>
      <c r="D56" s="3" t="s">
        <v>245</v>
      </c>
      <c r="E56" s="3" t="s">
        <v>75</v>
      </c>
      <c r="F56" s="2" t="s">
        <v>246</v>
      </c>
      <c r="G56" s="2" t="s">
        <v>15</v>
      </c>
      <c r="H56" s="2" t="s">
        <v>238</v>
      </c>
      <c r="I56" s="2" t="s">
        <v>247</v>
      </c>
    </row>
    <row r="57" customFormat="false" ht="17.15" hidden="false" customHeight="false" outlineLevel="0" collapsed="false">
      <c r="A57" s="2" t="s">
        <v>136</v>
      </c>
      <c r="B57" s="3" t="s">
        <v>137</v>
      </c>
      <c r="C57" s="2" t="s">
        <v>248</v>
      </c>
      <c r="D57" s="3" t="s">
        <v>249</v>
      </c>
      <c r="E57" s="3" t="s">
        <v>75</v>
      </c>
      <c r="F57" s="2" t="s">
        <v>250</v>
      </c>
      <c r="G57" s="2" t="s">
        <v>15</v>
      </c>
      <c r="H57" s="2" t="s">
        <v>238</v>
      </c>
      <c r="I57" s="2" t="s">
        <v>251</v>
      </c>
    </row>
    <row r="58" customFormat="false" ht="17.15" hidden="false" customHeight="false" outlineLevel="0" collapsed="false">
      <c r="A58" s="2" t="s">
        <v>136</v>
      </c>
      <c r="B58" s="3" t="s">
        <v>137</v>
      </c>
      <c r="C58" s="2" t="s">
        <v>252</v>
      </c>
      <c r="D58" s="3" t="s">
        <v>253</v>
      </c>
      <c r="E58" s="3" t="s">
        <v>32</v>
      </c>
      <c r="F58" s="2" t="s">
        <v>254</v>
      </c>
      <c r="G58" s="2" t="s">
        <v>15</v>
      </c>
      <c r="H58" s="2" t="s">
        <v>15</v>
      </c>
      <c r="I58" s="2" t="s">
        <v>118</v>
      </c>
    </row>
    <row r="59" customFormat="false" ht="17.15" hidden="false" customHeight="false" outlineLevel="0" collapsed="false">
      <c r="A59" s="2" t="s">
        <v>136</v>
      </c>
      <c r="B59" s="3" t="s">
        <v>137</v>
      </c>
      <c r="C59" s="2" t="s">
        <v>255</v>
      </c>
      <c r="D59" s="3" t="s">
        <v>256</v>
      </c>
      <c r="E59" s="3" t="s">
        <v>257</v>
      </c>
      <c r="F59" s="2" t="s">
        <v>258</v>
      </c>
      <c r="G59" s="2" t="s">
        <v>15</v>
      </c>
      <c r="H59" s="2" t="s">
        <v>259</v>
      </c>
      <c r="I59" s="2" t="s">
        <v>118</v>
      </c>
    </row>
    <row r="60" customFormat="false" ht="17.15" hidden="false" customHeight="false" outlineLevel="0" collapsed="false">
      <c r="A60" s="2" t="s">
        <v>136</v>
      </c>
      <c r="B60" s="3" t="s">
        <v>137</v>
      </c>
      <c r="C60" s="2" t="s">
        <v>260</v>
      </c>
      <c r="D60" s="3" t="s">
        <v>261</v>
      </c>
      <c r="E60" s="3" t="s">
        <v>124</v>
      </c>
      <c r="F60" s="2" t="s">
        <v>262</v>
      </c>
      <c r="G60" s="3" t="e">
        <f aca="false">沙丘=</f>
        <v>#N/A</v>
      </c>
      <c r="H60" s="2" t="s">
        <v>263</v>
      </c>
      <c r="I60" s="2" t="s">
        <v>118</v>
      </c>
    </row>
    <row r="61" customFormat="false" ht="17.15" hidden="false" customHeight="false" outlineLevel="0" collapsed="false">
      <c r="A61" s="2" t="s">
        <v>136</v>
      </c>
      <c r="B61" s="3" t="s">
        <v>137</v>
      </c>
      <c r="C61" s="2" t="s">
        <v>264</v>
      </c>
      <c r="D61" s="3" t="s">
        <v>265</v>
      </c>
      <c r="E61" s="3" t="s">
        <v>75</v>
      </c>
      <c r="F61" s="2" t="s">
        <v>266</v>
      </c>
      <c r="G61" s="2" t="s">
        <v>15</v>
      </c>
      <c r="H61" s="2" t="s">
        <v>15</v>
      </c>
      <c r="I61" s="2" t="s">
        <v>118</v>
      </c>
    </row>
    <row r="62" customFormat="false" ht="17.15" hidden="false" customHeight="false" outlineLevel="0" collapsed="false">
      <c r="A62" s="2" t="s">
        <v>136</v>
      </c>
      <c r="B62" s="3" t="s">
        <v>137</v>
      </c>
      <c r="C62" s="2" t="s">
        <v>267</v>
      </c>
      <c r="D62" s="3" t="s">
        <v>268</v>
      </c>
      <c r="E62" s="3" t="s">
        <v>41</v>
      </c>
      <c r="F62" s="2" t="s">
        <v>269</v>
      </c>
      <c r="G62" s="2" t="s">
        <v>15</v>
      </c>
      <c r="H62" s="2" t="s">
        <v>270</v>
      </c>
      <c r="I62" s="2" t="s">
        <v>118</v>
      </c>
    </row>
    <row r="63" customFormat="false" ht="32.8" hidden="false" customHeight="false" outlineLevel="0" collapsed="false">
      <c r="A63" s="2" t="s">
        <v>271</v>
      </c>
      <c r="B63" s="3" t="s">
        <v>272</v>
      </c>
      <c r="C63" s="2" t="s">
        <v>273</v>
      </c>
      <c r="D63" s="3" t="s">
        <v>274</v>
      </c>
      <c r="E63" s="3" t="s">
        <v>75</v>
      </c>
      <c r="F63" s="2" t="s">
        <v>275</v>
      </c>
      <c r="G63" s="2" t="s">
        <v>15</v>
      </c>
      <c r="H63" s="2" t="s">
        <v>276</v>
      </c>
      <c r="I63" s="2" t="s">
        <v>118</v>
      </c>
    </row>
    <row r="64" customFormat="false" ht="32.8" hidden="false" customHeight="false" outlineLevel="0" collapsed="false">
      <c r="A64" s="2" t="s">
        <v>271</v>
      </c>
      <c r="B64" s="3" t="s">
        <v>272</v>
      </c>
      <c r="C64" s="2" t="s">
        <v>277</v>
      </c>
      <c r="D64" s="3" t="s">
        <v>278</v>
      </c>
      <c r="E64" s="3" t="s">
        <v>23</v>
      </c>
      <c r="F64" s="2" t="s">
        <v>279</v>
      </c>
      <c r="G64" s="2" t="s">
        <v>15</v>
      </c>
      <c r="H64" s="2" t="s">
        <v>280</v>
      </c>
      <c r="I64" s="2" t="s">
        <v>108</v>
      </c>
    </row>
    <row r="65" customFormat="false" ht="32.8" hidden="false" customHeight="false" outlineLevel="0" collapsed="false">
      <c r="A65" s="2" t="s">
        <v>271</v>
      </c>
      <c r="B65" s="3" t="s">
        <v>272</v>
      </c>
      <c r="C65" s="2" t="s">
        <v>281</v>
      </c>
      <c r="D65" s="3" t="s">
        <v>282</v>
      </c>
      <c r="E65" s="3" t="s">
        <v>75</v>
      </c>
      <c r="F65" s="2" t="s">
        <v>279</v>
      </c>
      <c r="G65" s="2" t="s">
        <v>15</v>
      </c>
      <c r="H65" s="2" t="s">
        <v>283</v>
      </c>
      <c r="I65" s="2" t="s">
        <v>83</v>
      </c>
    </row>
    <row r="66" customFormat="false" ht="32.8" hidden="false" customHeight="false" outlineLevel="0" collapsed="false">
      <c r="A66" s="2" t="s">
        <v>271</v>
      </c>
      <c r="B66" s="3" t="s">
        <v>272</v>
      </c>
      <c r="C66" s="2" t="s">
        <v>284</v>
      </c>
      <c r="D66" s="3" t="s">
        <v>285</v>
      </c>
      <c r="E66" s="3" t="s">
        <v>124</v>
      </c>
      <c r="F66" s="2" t="s">
        <v>286</v>
      </c>
      <c r="G66" s="3" t="e">
        <f aca="false">邯郸=</f>
        <v>#N/A</v>
      </c>
      <c r="H66" s="2" t="s">
        <v>287</v>
      </c>
      <c r="I66" s="2" t="s">
        <v>113</v>
      </c>
    </row>
    <row r="67" customFormat="false" ht="32.8" hidden="false" customHeight="false" outlineLevel="0" collapsed="false">
      <c r="A67" s="2" t="s">
        <v>271</v>
      </c>
      <c r="B67" s="3" t="s">
        <v>272</v>
      </c>
      <c r="C67" s="2" t="s">
        <v>288</v>
      </c>
      <c r="D67" s="3" t="s">
        <v>289</v>
      </c>
      <c r="E67" s="3" t="s">
        <v>75</v>
      </c>
      <c r="F67" s="2" t="s">
        <v>290</v>
      </c>
      <c r="G67" s="2" t="s">
        <v>15</v>
      </c>
      <c r="H67" s="2" t="s">
        <v>276</v>
      </c>
      <c r="I67" s="2" t="s">
        <v>108</v>
      </c>
    </row>
    <row r="68" customFormat="false" ht="32.8" hidden="false" customHeight="false" outlineLevel="0" collapsed="false">
      <c r="A68" s="2" t="s">
        <v>271</v>
      </c>
      <c r="B68" s="3" t="s">
        <v>272</v>
      </c>
      <c r="C68" s="2" t="s">
        <v>291</v>
      </c>
      <c r="D68" s="3" t="s">
        <v>292</v>
      </c>
      <c r="E68" s="3" t="s">
        <v>23</v>
      </c>
      <c r="F68" s="2" t="s">
        <v>293</v>
      </c>
      <c r="G68" s="2" t="s">
        <v>15</v>
      </c>
      <c r="H68" s="2" t="s">
        <v>280</v>
      </c>
      <c r="I68" s="2" t="s">
        <v>108</v>
      </c>
    </row>
    <row r="69" customFormat="false" ht="32.8" hidden="false" customHeight="false" outlineLevel="0" collapsed="false">
      <c r="A69" s="2" t="s">
        <v>271</v>
      </c>
      <c r="B69" s="3" t="s">
        <v>272</v>
      </c>
      <c r="C69" s="2" t="s">
        <v>294</v>
      </c>
      <c r="D69" s="3" t="s">
        <v>295</v>
      </c>
      <c r="E69" s="3" t="s">
        <v>75</v>
      </c>
      <c r="F69" s="2" t="s">
        <v>296</v>
      </c>
      <c r="G69" s="3" t="e">
        <f aca="false">定陶=</f>
        <v>#N/A</v>
      </c>
      <c r="H69" s="2" t="s">
        <v>280</v>
      </c>
      <c r="I69" s="2" t="s">
        <v>108</v>
      </c>
    </row>
    <row r="70" customFormat="false" ht="32.8" hidden="false" customHeight="false" outlineLevel="0" collapsed="false">
      <c r="A70" s="2" t="s">
        <v>271</v>
      </c>
      <c r="B70" s="3" t="s">
        <v>272</v>
      </c>
      <c r="C70" s="2" t="s">
        <v>297</v>
      </c>
      <c r="D70" s="3" t="s">
        <v>298</v>
      </c>
      <c r="E70" s="3" t="s">
        <v>41</v>
      </c>
      <c r="F70" s="2" t="s">
        <v>299</v>
      </c>
      <c r="G70" s="2" t="s">
        <v>15</v>
      </c>
      <c r="H70" s="2" t="s">
        <v>300</v>
      </c>
      <c r="I70" s="2" t="s">
        <v>108</v>
      </c>
    </row>
    <row r="71" customFormat="false" ht="32.8" hidden="false" customHeight="false" outlineLevel="0" collapsed="false">
      <c r="A71" s="2" t="s">
        <v>271</v>
      </c>
      <c r="B71" s="3" t="s">
        <v>272</v>
      </c>
      <c r="C71" s="2" t="s">
        <v>301</v>
      </c>
      <c r="D71" s="3" t="s">
        <v>302</v>
      </c>
      <c r="E71" s="3" t="s">
        <v>75</v>
      </c>
      <c r="F71" s="2" t="s">
        <v>303</v>
      </c>
      <c r="G71" s="3" t="e">
        <f aca="false">巨鹿=</f>
        <v>#N/A</v>
      </c>
      <c r="H71" s="2" t="s">
        <v>300</v>
      </c>
      <c r="I71" s="2" t="s">
        <v>108</v>
      </c>
    </row>
    <row r="72" customFormat="false" ht="32.8" hidden="false" customHeight="false" outlineLevel="0" collapsed="false">
      <c r="A72" s="2" t="s">
        <v>271</v>
      </c>
      <c r="B72" s="3" t="s">
        <v>272</v>
      </c>
      <c r="C72" s="2" t="s">
        <v>304</v>
      </c>
      <c r="D72" s="3" t="s">
        <v>305</v>
      </c>
      <c r="E72" s="3" t="s">
        <v>75</v>
      </c>
      <c r="F72" s="2" t="s">
        <v>306</v>
      </c>
      <c r="G72" s="3" t="e">
        <f aca="false">咸阳=</f>
        <v>#N/A</v>
      </c>
      <c r="H72" s="2" t="s">
        <v>283</v>
      </c>
      <c r="I72" s="2" t="s">
        <v>83</v>
      </c>
    </row>
    <row r="73" customFormat="false" ht="32.8" hidden="false" customHeight="false" outlineLevel="0" collapsed="false">
      <c r="A73" s="2" t="s">
        <v>271</v>
      </c>
      <c r="B73" s="3" t="s">
        <v>272</v>
      </c>
      <c r="C73" s="2" t="s">
        <v>307</v>
      </c>
      <c r="D73" s="3" t="s">
        <v>308</v>
      </c>
      <c r="E73" s="3" t="s">
        <v>75</v>
      </c>
      <c r="F73" s="2" t="s">
        <v>309</v>
      </c>
      <c r="G73" s="3" t="e">
        <f aca="false">新安=</f>
        <v>#N/A</v>
      </c>
      <c r="H73" s="2" t="s">
        <v>300</v>
      </c>
      <c r="I73" s="2" t="s">
        <v>15</v>
      </c>
    </row>
    <row r="74" customFormat="false" ht="32.8" hidden="false" customHeight="false" outlineLevel="0" collapsed="false">
      <c r="A74" s="2" t="s">
        <v>271</v>
      </c>
      <c r="B74" s="3" t="s">
        <v>272</v>
      </c>
      <c r="C74" s="2" t="s">
        <v>310</v>
      </c>
      <c r="D74" s="3" t="s">
        <v>311</v>
      </c>
      <c r="E74" s="3" t="s">
        <v>23</v>
      </c>
      <c r="F74" s="2" t="s">
        <v>312</v>
      </c>
      <c r="G74" s="3" t="e">
        <f aca="false">关中=</f>
        <v>#N/A</v>
      </c>
      <c r="H74" s="2" t="s">
        <v>300</v>
      </c>
      <c r="I74" s="2" t="s">
        <v>15</v>
      </c>
    </row>
    <row r="75" customFormat="false" ht="32.8" hidden="false" customHeight="false" outlineLevel="0" collapsed="false">
      <c r="A75" s="2" t="s">
        <v>271</v>
      </c>
      <c r="B75" s="3" t="s">
        <v>272</v>
      </c>
      <c r="C75" s="2" t="s">
        <v>313</v>
      </c>
      <c r="D75" s="3" t="s">
        <v>314</v>
      </c>
      <c r="E75" s="3" t="s">
        <v>41</v>
      </c>
      <c r="F75" s="2" t="s">
        <v>315</v>
      </c>
      <c r="G75" s="2" t="s">
        <v>15</v>
      </c>
      <c r="H75" s="2" t="s">
        <v>300</v>
      </c>
      <c r="I75" s="2" t="s">
        <v>15</v>
      </c>
    </row>
    <row r="76" customFormat="false" ht="32.8" hidden="false" customHeight="false" outlineLevel="0" collapsed="false">
      <c r="A76" s="2" t="s">
        <v>271</v>
      </c>
      <c r="B76" s="3" t="s">
        <v>272</v>
      </c>
      <c r="C76" s="2" t="s">
        <v>316</v>
      </c>
      <c r="D76" s="3" t="s">
        <v>317</v>
      </c>
      <c r="E76" s="3" t="s">
        <v>75</v>
      </c>
      <c r="F76" s="2" t="s">
        <v>318</v>
      </c>
      <c r="G76" s="3" t="e">
        <f aca="false">彭城=</f>
        <v>#N/A</v>
      </c>
      <c r="H76" s="2" t="s">
        <v>319</v>
      </c>
      <c r="I76" s="2" t="s">
        <v>83</v>
      </c>
    </row>
    <row r="77" customFormat="false" ht="32.8" hidden="false" customHeight="false" outlineLevel="0" collapsed="false">
      <c r="A77" s="2" t="s">
        <v>271</v>
      </c>
      <c r="B77" s="3" t="s">
        <v>272</v>
      </c>
      <c r="C77" s="2" t="s">
        <v>320</v>
      </c>
      <c r="D77" s="3" t="s">
        <v>321</v>
      </c>
      <c r="E77" s="3" t="s">
        <v>75</v>
      </c>
      <c r="F77" s="2" t="s">
        <v>318</v>
      </c>
      <c r="G77" s="3" t="e">
        <f aca="false">彭城=</f>
        <v>#N/A</v>
      </c>
      <c r="H77" s="2" t="s">
        <v>300</v>
      </c>
      <c r="I77" s="2" t="s">
        <v>108</v>
      </c>
    </row>
    <row r="78" customFormat="false" ht="17.15" hidden="false" customHeight="false" outlineLevel="0" collapsed="false">
      <c r="A78" s="2" t="s">
        <v>271</v>
      </c>
      <c r="B78" s="3" t="s">
        <v>272</v>
      </c>
      <c r="C78" s="2" t="s">
        <v>322</v>
      </c>
      <c r="D78" s="3" t="s">
        <v>323</v>
      </c>
      <c r="E78" s="3" t="s">
        <v>75</v>
      </c>
      <c r="F78" s="2" t="s">
        <v>324</v>
      </c>
      <c r="G78" s="2" t="s">
        <v>15</v>
      </c>
      <c r="H78" s="2" t="s">
        <v>325</v>
      </c>
      <c r="I78" s="2" t="s">
        <v>83</v>
      </c>
    </row>
    <row r="79" customFormat="false" ht="17.15" hidden="false" customHeight="false" outlineLevel="0" collapsed="false">
      <c r="A79" s="2" t="s">
        <v>271</v>
      </c>
      <c r="B79" s="3" t="s">
        <v>272</v>
      </c>
      <c r="C79" s="2" t="s">
        <v>326</v>
      </c>
      <c r="D79" s="3" t="s">
        <v>327</v>
      </c>
      <c r="E79" s="3" t="s">
        <v>75</v>
      </c>
      <c r="F79" s="2" t="s">
        <v>328</v>
      </c>
      <c r="G79" s="2" t="s">
        <v>15</v>
      </c>
      <c r="H79" s="2" t="s">
        <v>325</v>
      </c>
      <c r="I79" s="2" t="s">
        <v>83</v>
      </c>
    </row>
    <row r="80" customFormat="false" ht="32.8" hidden="false" customHeight="false" outlineLevel="0" collapsed="false">
      <c r="A80" s="2" t="s">
        <v>271</v>
      </c>
      <c r="B80" s="3" t="s">
        <v>272</v>
      </c>
      <c r="C80" s="2" t="s">
        <v>329</v>
      </c>
      <c r="D80" s="3" t="s">
        <v>330</v>
      </c>
      <c r="E80" s="3" t="s">
        <v>75</v>
      </c>
      <c r="F80" s="2" t="s">
        <v>331</v>
      </c>
      <c r="G80" s="2" t="s">
        <v>15</v>
      </c>
      <c r="H80" s="2" t="s">
        <v>300</v>
      </c>
      <c r="I80" s="2" t="s">
        <v>83</v>
      </c>
    </row>
    <row r="81" customFormat="false" ht="32.8" hidden="false" customHeight="false" outlineLevel="0" collapsed="false">
      <c r="A81" s="2" t="s">
        <v>271</v>
      </c>
      <c r="B81" s="3" t="s">
        <v>272</v>
      </c>
      <c r="C81" s="2" t="s">
        <v>332</v>
      </c>
      <c r="D81" s="3" t="s">
        <v>333</v>
      </c>
      <c r="E81" s="3" t="s">
        <v>124</v>
      </c>
      <c r="F81" s="2" t="s">
        <v>334</v>
      </c>
      <c r="G81" s="3" t="e">
        <f aca="false">定陶=</f>
        <v>#N/A</v>
      </c>
      <c r="H81" s="2" t="s">
        <v>319</v>
      </c>
      <c r="I81" s="2" t="s">
        <v>83</v>
      </c>
    </row>
    <row r="82" customFormat="false" ht="17.15" hidden="false" customHeight="false" outlineLevel="0" collapsed="false">
      <c r="A82" s="2" t="s">
        <v>335</v>
      </c>
      <c r="B82" s="3" t="s">
        <v>336</v>
      </c>
      <c r="C82" s="2" t="s">
        <v>337</v>
      </c>
      <c r="D82" s="3" t="s">
        <v>338</v>
      </c>
      <c r="E82" s="3" t="s">
        <v>23</v>
      </c>
      <c r="F82" s="3" t="s">
        <v>70</v>
      </c>
      <c r="G82" s="2" t="s">
        <v>15</v>
      </c>
      <c r="H82" s="2" t="s">
        <v>339</v>
      </c>
      <c r="I82" s="2" t="s">
        <v>17</v>
      </c>
    </row>
    <row r="83" customFormat="false" ht="17.15" hidden="false" customHeight="false" outlineLevel="0" collapsed="false">
      <c r="A83" s="2" t="s">
        <v>335</v>
      </c>
      <c r="B83" s="3" t="s">
        <v>336</v>
      </c>
      <c r="C83" s="2" t="s">
        <v>340</v>
      </c>
      <c r="D83" s="3" t="s">
        <v>341</v>
      </c>
      <c r="E83" s="3" t="s">
        <v>23</v>
      </c>
      <c r="F83" s="2" t="s">
        <v>342</v>
      </c>
      <c r="G83" s="2" t="s">
        <v>15</v>
      </c>
      <c r="H83" s="2" t="s">
        <v>343</v>
      </c>
      <c r="I83" s="2" t="s">
        <v>83</v>
      </c>
    </row>
    <row r="84" customFormat="false" ht="32.8" hidden="false" customHeight="false" outlineLevel="0" collapsed="false">
      <c r="A84" s="2" t="s">
        <v>335</v>
      </c>
      <c r="B84" s="3" t="s">
        <v>336</v>
      </c>
      <c r="C84" s="2" t="s">
        <v>344</v>
      </c>
      <c r="D84" s="3" t="s">
        <v>345</v>
      </c>
      <c r="E84" s="3" t="s">
        <v>23</v>
      </c>
      <c r="F84" s="2" t="s">
        <v>346</v>
      </c>
      <c r="G84" s="2" t="s">
        <v>15</v>
      </c>
      <c r="H84" s="2" t="s">
        <v>343</v>
      </c>
      <c r="I84" s="2" t="s">
        <v>83</v>
      </c>
    </row>
    <row r="85" customFormat="false" ht="17.15" hidden="false" customHeight="false" outlineLevel="0" collapsed="false">
      <c r="A85" s="2" t="s">
        <v>335</v>
      </c>
      <c r="B85" s="3" t="s">
        <v>336</v>
      </c>
      <c r="C85" s="2" t="s">
        <v>347</v>
      </c>
      <c r="D85" s="3" t="s">
        <v>348</v>
      </c>
      <c r="E85" s="3" t="s">
        <v>41</v>
      </c>
      <c r="F85" s="2" t="s">
        <v>349</v>
      </c>
      <c r="G85" s="2" t="s">
        <v>15</v>
      </c>
      <c r="H85" s="2" t="s">
        <v>15</v>
      </c>
      <c r="I85" s="2" t="s">
        <v>83</v>
      </c>
    </row>
    <row r="86" customFormat="false" ht="17.15" hidden="false" customHeight="false" outlineLevel="0" collapsed="false">
      <c r="A86" s="2" t="s">
        <v>335</v>
      </c>
      <c r="B86" s="3" t="s">
        <v>336</v>
      </c>
      <c r="C86" s="2" t="s">
        <v>350</v>
      </c>
      <c r="D86" s="3" t="s">
        <v>351</v>
      </c>
      <c r="E86" s="3" t="s">
        <v>32</v>
      </c>
      <c r="F86" s="2" t="s">
        <v>352</v>
      </c>
      <c r="G86" s="2" t="s">
        <v>15</v>
      </c>
      <c r="H86" s="2" t="s">
        <v>15</v>
      </c>
      <c r="I86" s="2" t="s">
        <v>83</v>
      </c>
    </row>
    <row r="87" customFormat="false" ht="17.15" hidden="false" customHeight="false" outlineLevel="0" collapsed="false">
      <c r="A87" s="2" t="s">
        <v>335</v>
      </c>
      <c r="B87" s="3" t="s">
        <v>336</v>
      </c>
      <c r="C87" s="2" t="s">
        <v>353</v>
      </c>
      <c r="D87" s="3" t="s">
        <v>354</v>
      </c>
      <c r="E87" s="3" t="s">
        <v>75</v>
      </c>
      <c r="F87" s="2" t="s">
        <v>355</v>
      </c>
      <c r="G87" s="2" t="s">
        <v>15</v>
      </c>
      <c r="H87" s="2" t="s">
        <v>15</v>
      </c>
      <c r="I87" s="2" t="s">
        <v>83</v>
      </c>
    </row>
    <row r="88" customFormat="false" ht="32.8" hidden="false" customHeight="false" outlineLevel="0" collapsed="false">
      <c r="A88" s="2" t="s">
        <v>335</v>
      </c>
      <c r="B88" s="3" t="s">
        <v>336</v>
      </c>
      <c r="C88" s="2" t="s">
        <v>356</v>
      </c>
      <c r="D88" s="3" t="s">
        <v>357</v>
      </c>
      <c r="E88" s="3" t="s">
        <v>75</v>
      </c>
      <c r="F88" s="2" t="s">
        <v>358</v>
      </c>
      <c r="G88" s="2" t="s">
        <v>15</v>
      </c>
      <c r="H88" s="2" t="s">
        <v>359</v>
      </c>
      <c r="I88" s="2" t="s">
        <v>83</v>
      </c>
    </row>
    <row r="89" customFormat="false" ht="32.8" hidden="false" customHeight="false" outlineLevel="0" collapsed="false">
      <c r="A89" s="2" t="s">
        <v>335</v>
      </c>
      <c r="B89" s="3" t="s">
        <v>336</v>
      </c>
      <c r="C89" s="2" t="s">
        <v>360</v>
      </c>
      <c r="D89" s="3" t="s">
        <v>361</v>
      </c>
      <c r="E89" s="3" t="s">
        <v>75</v>
      </c>
      <c r="F89" s="2" t="s">
        <v>358</v>
      </c>
      <c r="G89" s="2" t="s">
        <v>15</v>
      </c>
      <c r="H89" s="2" t="s">
        <v>362</v>
      </c>
      <c r="I89" s="2" t="s">
        <v>83</v>
      </c>
    </row>
    <row r="90" customFormat="false" ht="17.15" hidden="false" customHeight="false" outlineLevel="0" collapsed="false">
      <c r="A90" s="2" t="s">
        <v>335</v>
      </c>
      <c r="B90" s="3" t="s">
        <v>336</v>
      </c>
      <c r="C90" s="2" t="s">
        <v>363</v>
      </c>
      <c r="D90" s="3" t="s">
        <v>364</v>
      </c>
      <c r="E90" s="3" t="s">
        <v>41</v>
      </c>
      <c r="F90" s="2" t="s">
        <v>365</v>
      </c>
      <c r="G90" s="2" t="s">
        <v>15</v>
      </c>
      <c r="H90" s="2" t="s">
        <v>15</v>
      </c>
      <c r="I90" s="2" t="s">
        <v>83</v>
      </c>
    </row>
    <row r="91" customFormat="false" ht="17.15" hidden="false" customHeight="false" outlineLevel="0" collapsed="false">
      <c r="A91" s="2" t="s">
        <v>335</v>
      </c>
      <c r="B91" s="3" t="s">
        <v>336</v>
      </c>
      <c r="C91" s="2" t="s">
        <v>366</v>
      </c>
      <c r="D91" s="3" t="s">
        <v>367</v>
      </c>
      <c r="E91" s="3" t="s">
        <v>41</v>
      </c>
      <c r="F91" s="2" t="s">
        <v>368</v>
      </c>
      <c r="G91" s="2" t="s">
        <v>15</v>
      </c>
      <c r="H91" s="2" t="s">
        <v>15</v>
      </c>
      <c r="I91" s="2" t="s">
        <v>83</v>
      </c>
    </row>
    <row r="92" customFormat="false" ht="17.15" hidden="false" customHeight="false" outlineLevel="0" collapsed="false">
      <c r="A92" s="2" t="s">
        <v>335</v>
      </c>
      <c r="B92" s="3" t="s">
        <v>336</v>
      </c>
      <c r="C92" s="2" t="s">
        <v>369</v>
      </c>
      <c r="D92" s="3" t="s">
        <v>370</v>
      </c>
      <c r="E92" s="3" t="s">
        <v>75</v>
      </c>
      <c r="F92" s="2" t="s">
        <v>355</v>
      </c>
      <c r="G92" s="2" t="s">
        <v>15</v>
      </c>
      <c r="H92" s="2" t="s">
        <v>371</v>
      </c>
      <c r="I92" s="2" t="s">
        <v>83</v>
      </c>
    </row>
    <row r="93" customFormat="false" ht="17.15" hidden="false" customHeight="false" outlineLevel="0" collapsed="false">
      <c r="A93" s="2" t="s">
        <v>372</v>
      </c>
      <c r="B93" s="3" t="s">
        <v>373</v>
      </c>
      <c r="C93" s="2" t="s">
        <v>374</v>
      </c>
      <c r="D93" s="3" t="s">
        <v>375</v>
      </c>
      <c r="E93" s="3" t="s">
        <v>23</v>
      </c>
      <c r="F93" s="3" t="s">
        <v>376</v>
      </c>
      <c r="G93" s="3" t="e">
        <f aca="false">河=、=泰山=</f>
        <v>#N/A</v>
      </c>
      <c r="H93" s="2" t="s">
        <v>343</v>
      </c>
      <c r="I93" s="2" t="s">
        <v>83</v>
      </c>
    </row>
    <row r="94" customFormat="false" ht="17.15" hidden="false" customHeight="false" outlineLevel="0" collapsed="false">
      <c r="A94" s="2" t="s">
        <v>372</v>
      </c>
      <c r="B94" s="3" t="s">
        <v>373</v>
      </c>
      <c r="C94" s="2" t="s">
        <v>377</v>
      </c>
      <c r="D94" s="3" t="s">
        <v>378</v>
      </c>
      <c r="E94" s="3" t="s">
        <v>23</v>
      </c>
      <c r="F94" s="2" t="s">
        <v>342</v>
      </c>
      <c r="G94" s="2" t="s">
        <v>15</v>
      </c>
      <c r="H94" s="2" t="s">
        <v>343</v>
      </c>
      <c r="I94" s="2" t="s">
        <v>83</v>
      </c>
    </row>
    <row r="95" customFormat="false" ht="32.8" hidden="false" customHeight="false" outlineLevel="0" collapsed="false">
      <c r="A95" s="2" t="s">
        <v>372</v>
      </c>
      <c r="B95" s="3" t="s">
        <v>373</v>
      </c>
      <c r="C95" s="2" t="s">
        <v>379</v>
      </c>
      <c r="D95" s="3" t="s">
        <v>380</v>
      </c>
      <c r="E95" s="3" t="s">
        <v>381</v>
      </c>
      <c r="F95" s="2" t="s">
        <v>382</v>
      </c>
      <c r="G95" s="2" t="s">
        <v>15</v>
      </c>
      <c r="H95" s="2" t="s">
        <v>383</v>
      </c>
      <c r="I95" s="2" t="s">
        <v>83</v>
      </c>
    </row>
    <row r="96" customFormat="false" ht="17.15" hidden="false" customHeight="false" outlineLevel="0" collapsed="false">
      <c r="A96" s="2" t="s">
        <v>372</v>
      </c>
      <c r="B96" s="3" t="s">
        <v>373</v>
      </c>
      <c r="C96" s="2" t="s">
        <v>384</v>
      </c>
      <c r="D96" s="3" t="s">
        <v>385</v>
      </c>
      <c r="E96" s="3" t="s">
        <v>23</v>
      </c>
      <c r="F96" s="2" t="s">
        <v>386</v>
      </c>
      <c r="G96" s="2" t="s">
        <v>15</v>
      </c>
      <c r="H96" s="2" t="s">
        <v>15</v>
      </c>
      <c r="I96" s="2" t="s">
        <v>83</v>
      </c>
    </row>
    <row r="97" customFormat="false" ht="32.8" hidden="false" customHeight="false" outlineLevel="0" collapsed="false">
      <c r="A97" s="2" t="s">
        <v>372</v>
      </c>
      <c r="B97" s="3" t="s">
        <v>373</v>
      </c>
      <c r="C97" s="2" t="s">
        <v>387</v>
      </c>
      <c r="D97" s="3" t="s">
        <v>388</v>
      </c>
      <c r="E97" s="3" t="s">
        <v>41</v>
      </c>
      <c r="F97" s="2" t="s">
        <v>358</v>
      </c>
      <c r="G97" s="3" t="e">
        <f aca="false">关中=</f>
        <v>#N/A</v>
      </c>
      <c r="H97" s="2" t="s">
        <v>325</v>
      </c>
      <c r="I97" s="2" t="s">
        <v>83</v>
      </c>
    </row>
    <row r="98" customFormat="false" ht="17.15" hidden="false" customHeight="false" outlineLevel="0" collapsed="false">
      <c r="A98" s="2" t="s">
        <v>372</v>
      </c>
      <c r="B98" s="3" t="s">
        <v>373</v>
      </c>
      <c r="C98" s="2" t="s">
        <v>389</v>
      </c>
      <c r="D98" s="3" t="s">
        <v>390</v>
      </c>
      <c r="E98" s="3" t="s">
        <v>75</v>
      </c>
      <c r="F98" s="2" t="s">
        <v>391</v>
      </c>
      <c r="G98" s="2" t="s">
        <v>15</v>
      </c>
      <c r="H98" s="2" t="s">
        <v>392</v>
      </c>
      <c r="I98" s="2" t="s">
        <v>83</v>
      </c>
    </row>
    <row r="99" customFormat="false" ht="17.15" hidden="false" customHeight="false" outlineLevel="0" collapsed="false">
      <c r="A99" s="2" t="s">
        <v>372</v>
      </c>
      <c r="B99" s="3" t="s">
        <v>373</v>
      </c>
      <c r="C99" s="2" t="s">
        <v>393</v>
      </c>
      <c r="D99" s="3" t="s">
        <v>394</v>
      </c>
      <c r="E99" s="3" t="s">
        <v>23</v>
      </c>
      <c r="F99" s="2" t="s">
        <v>342</v>
      </c>
      <c r="G99" s="2" t="s">
        <v>15</v>
      </c>
      <c r="H99" s="2" t="s">
        <v>395</v>
      </c>
      <c r="I99" s="2" t="s">
        <v>83</v>
      </c>
    </row>
    <row r="100" customFormat="false" ht="32.8" hidden="false" customHeight="false" outlineLevel="0" collapsed="false">
      <c r="A100" s="2" t="s">
        <v>372</v>
      </c>
      <c r="B100" s="3" t="s">
        <v>373</v>
      </c>
      <c r="C100" s="2" t="s">
        <v>396</v>
      </c>
      <c r="D100" s="3" t="s">
        <v>397</v>
      </c>
      <c r="E100" s="3" t="s">
        <v>23</v>
      </c>
      <c r="F100" s="2" t="s">
        <v>398</v>
      </c>
      <c r="G100" s="2" t="s">
        <v>15</v>
      </c>
      <c r="H100" s="2" t="s">
        <v>399</v>
      </c>
      <c r="I100" s="2" t="s">
        <v>83</v>
      </c>
    </row>
    <row r="101" customFormat="false" ht="17.15" hidden="false" customHeight="false" outlineLevel="0" collapsed="false">
      <c r="A101" s="2" t="s">
        <v>372</v>
      </c>
      <c r="B101" s="3" t="s">
        <v>373</v>
      </c>
      <c r="C101" s="2" t="s">
        <v>400</v>
      </c>
      <c r="D101" s="3" t="s">
        <v>401</v>
      </c>
      <c r="E101" s="3" t="s">
        <v>23</v>
      </c>
      <c r="F101" s="2" t="s">
        <v>402</v>
      </c>
      <c r="G101" s="2" t="s">
        <v>15</v>
      </c>
      <c r="H101" s="2" t="s">
        <v>403</v>
      </c>
      <c r="I101" s="2" t="s">
        <v>83</v>
      </c>
    </row>
    <row r="102" customFormat="false" ht="48.5" hidden="false" customHeight="false" outlineLevel="0" collapsed="false">
      <c r="A102" s="2" t="s">
        <v>372</v>
      </c>
      <c r="B102" s="3" t="s">
        <v>373</v>
      </c>
      <c r="C102" s="2" t="s">
        <v>404</v>
      </c>
      <c r="D102" s="3" t="s">
        <v>405</v>
      </c>
      <c r="E102" s="3" t="s">
        <v>41</v>
      </c>
      <c r="F102" s="2" t="s">
        <v>406</v>
      </c>
      <c r="G102" s="2" t="s">
        <v>15</v>
      </c>
      <c r="H102" s="2" t="s">
        <v>407</v>
      </c>
      <c r="I102" s="2" t="s">
        <v>83</v>
      </c>
    </row>
    <row r="103" customFormat="false" ht="17.15" hidden="false" customHeight="false" outlineLevel="0" collapsed="false">
      <c r="A103" s="2" t="s">
        <v>372</v>
      </c>
      <c r="B103" s="3" t="s">
        <v>373</v>
      </c>
      <c r="C103" s="2" t="s">
        <v>408</v>
      </c>
      <c r="D103" s="3" t="s">
        <v>409</v>
      </c>
      <c r="E103" s="3" t="s">
        <v>23</v>
      </c>
      <c r="F103" s="2" t="s">
        <v>410</v>
      </c>
      <c r="G103" s="2" t="s">
        <v>15</v>
      </c>
      <c r="H103" s="2" t="s">
        <v>411</v>
      </c>
      <c r="I103" s="2" t="s">
        <v>83</v>
      </c>
    </row>
    <row r="104" customFormat="false" ht="32.8" hidden="false" customHeight="false" outlineLevel="0" collapsed="false">
      <c r="A104" s="2" t="s">
        <v>412</v>
      </c>
      <c r="B104" s="3" t="s">
        <v>413</v>
      </c>
      <c r="C104" s="2" t="s">
        <v>414</v>
      </c>
      <c r="D104" s="3" t="s">
        <v>415</v>
      </c>
      <c r="E104" s="3" t="s">
        <v>23</v>
      </c>
      <c r="F104" s="2" t="s">
        <v>416</v>
      </c>
      <c r="G104" s="2" t="s">
        <v>417</v>
      </c>
      <c r="H104" s="2" t="s">
        <v>15</v>
      </c>
      <c r="I104" s="2" t="s">
        <v>83</v>
      </c>
    </row>
    <row r="105" customFormat="false" ht="17.15" hidden="false" customHeight="false" outlineLevel="0" collapsed="false">
      <c r="A105" s="2" t="s">
        <v>412</v>
      </c>
      <c r="B105" s="3" t="s">
        <v>413</v>
      </c>
      <c r="C105" s="2" t="s">
        <v>418</v>
      </c>
      <c r="D105" s="3" t="s">
        <v>419</v>
      </c>
      <c r="E105" s="3" t="s">
        <v>23</v>
      </c>
      <c r="F105" s="3" t="s">
        <v>420</v>
      </c>
      <c r="G105" s="2" t="s">
        <v>15</v>
      </c>
      <c r="H105" s="2" t="s">
        <v>343</v>
      </c>
      <c r="I105" s="2" t="s">
        <v>83</v>
      </c>
    </row>
    <row r="106" customFormat="false" ht="48.5" hidden="false" customHeight="false" outlineLevel="0" collapsed="false">
      <c r="A106" s="2" t="s">
        <v>412</v>
      </c>
      <c r="B106" s="3" t="s">
        <v>413</v>
      </c>
      <c r="C106" s="2" t="s">
        <v>421</v>
      </c>
      <c r="D106" s="3" t="s">
        <v>422</v>
      </c>
      <c r="E106" s="3" t="s">
        <v>23</v>
      </c>
      <c r="F106" s="2" t="s">
        <v>423</v>
      </c>
      <c r="G106" s="2" t="s">
        <v>15</v>
      </c>
      <c r="H106" s="2" t="s">
        <v>15</v>
      </c>
      <c r="I106" s="2" t="s">
        <v>83</v>
      </c>
    </row>
    <row r="107" customFormat="false" ht="32.8" hidden="false" customHeight="false" outlineLevel="0" collapsed="false">
      <c r="A107" s="2" t="s">
        <v>412</v>
      </c>
      <c r="B107" s="3" t="s">
        <v>413</v>
      </c>
      <c r="C107" s="2" t="s">
        <v>424</v>
      </c>
      <c r="D107" s="3" t="s">
        <v>425</v>
      </c>
      <c r="E107" s="3" t="s">
        <v>23</v>
      </c>
      <c r="F107" s="2" t="s">
        <v>426</v>
      </c>
      <c r="G107" s="2" t="s">
        <v>15</v>
      </c>
      <c r="H107" s="2" t="s">
        <v>427</v>
      </c>
      <c r="I107" s="2" t="s">
        <v>83</v>
      </c>
    </row>
    <row r="108" customFormat="false" ht="17.15" hidden="false" customHeight="false" outlineLevel="0" collapsed="false">
      <c r="A108" s="2" t="s">
        <v>412</v>
      </c>
      <c r="B108" s="3" t="s">
        <v>413</v>
      </c>
      <c r="C108" s="2" t="s">
        <v>428</v>
      </c>
      <c r="D108" s="3" t="s">
        <v>429</v>
      </c>
      <c r="E108" s="3" t="s">
        <v>41</v>
      </c>
      <c r="F108" s="2" t="s">
        <v>365</v>
      </c>
      <c r="G108" s="2" t="s">
        <v>15</v>
      </c>
      <c r="H108" s="2" t="s">
        <v>430</v>
      </c>
      <c r="I108" s="2" t="s">
        <v>83</v>
      </c>
    </row>
    <row r="109" customFormat="false" ht="17.15" hidden="false" customHeight="false" outlineLevel="0" collapsed="false">
      <c r="A109" s="2" t="s">
        <v>412</v>
      </c>
      <c r="B109" s="3" t="s">
        <v>413</v>
      </c>
      <c r="C109" s="2" t="s">
        <v>431</v>
      </c>
      <c r="D109" s="3" t="s">
        <v>432</v>
      </c>
      <c r="E109" s="3" t="s">
        <v>23</v>
      </c>
      <c r="F109" s="2" t="s">
        <v>365</v>
      </c>
      <c r="G109" s="2" t="s">
        <v>15</v>
      </c>
      <c r="H109" s="2" t="s">
        <v>433</v>
      </c>
      <c r="I109" s="2" t="s">
        <v>83</v>
      </c>
    </row>
    <row r="110" customFormat="false" ht="17.15" hidden="false" customHeight="false" outlineLevel="0" collapsed="false">
      <c r="A110" s="2" t="s">
        <v>412</v>
      </c>
      <c r="B110" s="3" t="s">
        <v>413</v>
      </c>
      <c r="C110" s="2" t="s">
        <v>434</v>
      </c>
      <c r="D110" s="3" t="s">
        <v>435</v>
      </c>
      <c r="E110" s="3" t="s">
        <v>75</v>
      </c>
      <c r="F110" s="2" t="s">
        <v>355</v>
      </c>
      <c r="G110" s="2" t="s">
        <v>15</v>
      </c>
      <c r="H110" s="2" t="s">
        <v>15</v>
      </c>
      <c r="I110" s="2" t="s">
        <v>83</v>
      </c>
    </row>
    <row r="111" customFormat="false" ht="32.8" hidden="false" customHeight="false" outlineLevel="0" collapsed="false">
      <c r="A111" s="2" t="s">
        <v>412</v>
      </c>
      <c r="B111" s="3" t="s">
        <v>413</v>
      </c>
      <c r="C111" s="2" t="s">
        <v>436</v>
      </c>
      <c r="D111" s="3" t="s">
        <v>437</v>
      </c>
      <c r="E111" s="3" t="s">
        <v>257</v>
      </c>
      <c r="F111" s="2" t="s">
        <v>438</v>
      </c>
      <c r="G111" s="3" t="e">
        <f aca="false">长安=</f>
        <v>#N/A</v>
      </c>
      <c r="H111" s="2" t="s">
        <v>439</v>
      </c>
      <c r="I111" s="2" t="s">
        <v>83</v>
      </c>
    </row>
    <row r="112" customFormat="false" ht="17.15" hidden="false" customHeight="false" outlineLevel="0" collapsed="false">
      <c r="A112" s="2" t="s">
        <v>440</v>
      </c>
      <c r="B112" s="3" t="s">
        <v>441</v>
      </c>
      <c r="C112" s="2" t="s">
        <v>442</v>
      </c>
      <c r="D112" s="3" t="s">
        <v>443</v>
      </c>
      <c r="E112" s="3" t="s">
        <v>75</v>
      </c>
      <c r="F112" s="3" t="s">
        <v>444</v>
      </c>
      <c r="G112" s="2" t="s">
        <v>15</v>
      </c>
      <c r="H112" s="2" t="s">
        <v>15</v>
      </c>
      <c r="I112" s="2" t="s">
        <v>83</v>
      </c>
    </row>
    <row r="113" customFormat="false" ht="17.15" hidden="false" customHeight="false" outlineLevel="0" collapsed="false">
      <c r="A113" s="2" t="s">
        <v>440</v>
      </c>
      <c r="B113" s="3" t="s">
        <v>441</v>
      </c>
      <c r="C113" s="2" t="s">
        <v>445</v>
      </c>
      <c r="D113" s="3" t="s">
        <v>446</v>
      </c>
      <c r="E113" s="3" t="s">
        <v>75</v>
      </c>
      <c r="F113" s="2" t="s">
        <v>447</v>
      </c>
      <c r="G113" s="3" t="e">
        <f aca="false">东瓯=</f>
        <v>#N/A</v>
      </c>
      <c r="H113" s="2" t="s">
        <v>15</v>
      </c>
      <c r="I113" s="2" t="s">
        <v>83</v>
      </c>
    </row>
    <row r="114" customFormat="false" ht="17.15" hidden="false" customHeight="false" outlineLevel="0" collapsed="false">
      <c r="A114" s="2" t="s">
        <v>440</v>
      </c>
      <c r="B114" s="3" t="s">
        <v>441</v>
      </c>
      <c r="C114" s="2" t="s">
        <v>448</v>
      </c>
      <c r="D114" s="3" t="s">
        <v>449</v>
      </c>
      <c r="E114" s="3" t="s">
        <v>75</v>
      </c>
      <c r="F114" s="2" t="s">
        <v>352</v>
      </c>
      <c r="G114" s="2" t="s">
        <v>15</v>
      </c>
      <c r="H114" s="2" t="s">
        <v>450</v>
      </c>
      <c r="I114" s="2" t="s">
        <v>83</v>
      </c>
    </row>
    <row r="115" customFormat="false" ht="17.15" hidden="false" customHeight="false" outlineLevel="0" collapsed="false">
      <c r="A115" s="2" t="s">
        <v>440</v>
      </c>
      <c r="B115" s="3" t="s">
        <v>441</v>
      </c>
      <c r="C115" s="2" t="s">
        <v>451</v>
      </c>
      <c r="D115" s="3" t="s">
        <v>452</v>
      </c>
      <c r="E115" s="3" t="s">
        <v>75</v>
      </c>
      <c r="F115" s="2" t="s">
        <v>453</v>
      </c>
      <c r="G115" s="2" t="s">
        <v>15</v>
      </c>
      <c r="H115" s="2" t="s">
        <v>454</v>
      </c>
      <c r="I115" s="2" t="s">
        <v>83</v>
      </c>
    </row>
    <row r="116" customFormat="false" ht="17.15" hidden="false" customHeight="false" outlineLevel="0" collapsed="false">
      <c r="A116" s="2" t="s">
        <v>440</v>
      </c>
      <c r="B116" s="3" t="s">
        <v>441</v>
      </c>
      <c r="C116" s="2" t="s">
        <v>455</v>
      </c>
      <c r="D116" s="3" t="s">
        <v>456</v>
      </c>
      <c r="E116" s="3" t="s">
        <v>23</v>
      </c>
      <c r="F116" s="2" t="s">
        <v>457</v>
      </c>
      <c r="G116" s="2" t="s">
        <v>15</v>
      </c>
      <c r="H116" s="2" t="s">
        <v>458</v>
      </c>
      <c r="I116" s="2" t="s">
        <v>83</v>
      </c>
    </row>
    <row r="117" customFormat="false" ht="17.15" hidden="false" customHeight="false" outlineLevel="0" collapsed="false">
      <c r="A117" s="2" t="s">
        <v>440</v>
      </c>
      <c r="B117" s="3" t="s">
        <v>441</v>
      </c>
      <c r="C117" s="2" t="s">
        <v>459</v>
      </c>
      <c r="D117" s="3" t="s">
        <v>460</v>
      </c>
      <c r="E117" s="3" t="s">
        <v>23</v>
      </c>
      <c r="F117" s="2" t="s">
        <v>453</v>
      </c>
      <c r="G117" s="2" t="s">
        <v>15</v>
      </c>
      <c r="H117" s="2" t="s">
        <v>461</v>
      </c>
      <c r="I117" s="2" t="s">
        <v>83</v>
      </c>
    </row>
    <row r="118" customFormat="false" ht="17.15" hidden="false" customHeight="false" outlineLevel="0" collapsed="false">
      <c r="A118" s="2" t="s">
        <v>440</v>
      </c>
      <c r="B118" s="3" t="s">
        <v>441</v>
      </c>
      <c r="C118" s="2" t="s">
        <v>462</v>
      </c>
      <c r="D118" s="3" t="s">
        <v>463</v>
      </c>
      <c r="E118" s="3" t="s">
        <v>23</v>
      </c>
      <c r="F118" s="2" t="s">
        <v>464</v>
      </c>
      <c r="G118" s="2" t="s">
        <v>15</v>
      </c>
      <c r="H118" s="2" t="s">
        <v>465</v>
      </c>
      <c r="I118" s="2" t="s">
        <v>83</v>
      </c>
    </row>
    <row r="119" customFormat="false" ht="17.15" hidden="false" customHeight="false" outlineLevel="0" collapsed="false">
      <c r="A119" s="2" t="s">
        <v>440</v>
      </c>
      <c r="B119" s="3" t="s">
        <v>441</v>
      </c>
      <c r="C119" s="2" t="s">
        <v>466</v>
      </c>
      <c r="D119" s="3" t="s">
        <v>467</v>
      </c>
      <c r="E119" s="3" t="s">
        <v>23</v>
      </c>
      <c r="F119" s="2" t="s">
        <v>468</v>
      </c>
      <c r="G119" s="2" t="s">
        <v>15</v>
      </c>
      <c r="H119" s="2" t="s">
        <v>15</v>
      </c>
      <c r="I119" s="2" t="s">
        <v>83</v>
      </c>
    </row>
    <row r="120" customFormat="false" ht="17.15" hidden="false" customHeight="false" outlineLevel="0" collapsed="false">
      <c r="A120" s="2" t="s">
        <v>440</v>
      </c>
      <c r="B120" s="3" t="s">
        <v>441</v>
      </c>
      <c r="C120" s="2" t="s">
        <v>469</v>
      </c>
      <c r="D120" s="3" t="s">
        <v>470</v>
      </c>
      <c r="E120" s="3" t="s">
        <v>75</v>
      </c>
      <c r="F120" s="2" t="s">
        <v>457</v>
      </c>
      <c r="G120" s="2" t="s">
        <v>15</v>
      </c>
      <c r="H120" s="2" t="s">
        <v>450</v>
      </c>
      <c r="I120" s="2" t="s">
        <v>83</v>
      </c>
    </row>
    <row r="121" customFormat="false" ht="32.8" hidden="false" customHeight="false" outlineLevel="0" collapsed="false">
      <c r="A121" s="2" t="s">
        <v>440</v>
      </c>
      <c r="B121" s="3" t="s">
        <v>441</v>
      </c>
      <c r="C121" s="2" t="s">
        <v>471</v>
      </c>
      <c r="D121" s="3" t="s">
        <v>472</v>
      </c>
      <c r="E121" s="3" t="s">
        <v>75</v>
      </c>
      <c r="F121" s="2" t="s">
        <v>473</v>
      </c>
      <c r="G121" s="3" t="e">
        <f aca="false">祁连=</f>
        <v>#N/A</v>
      </c>
      <c r="H121" s="2" t="s">
        <v>454</v>
      </c>
      <c r="I121" s="2" t="s">
        <v>83</v>
      </c>
    </row>
    <row r="122" customFormat="false" ht="17.15" hidden="false" customHeight="false" outlineLevel="0" collapsed="false">
      <c r="A122" s="2" t="s">
        <v>474</v>
      </c>
      <c r="B122" s="3" t="s">
        <v>475</v>
      </c>
      <c r="C122" s="2" t="s">
        <v>476</v>
      </c>
      <c r="D122" s="3" t="s">
        <v>477</v>
      </c>
      <c r="E122" s="3" t="s">
        <v>32</v>
      </c>
      <c r="F122" s="2" t="s">
        <v>352</v>
      </c>
      <c r="G122" s="2" t="s">
        <v>15</v>
      </c>
      <c r="H122" s="2" t="s">
        <v>478</v>
      </c>
      <c r="I122" s="2" t="s">
        <v>83</v>
      </c>
    </row>
    <row r="123" customFormat="false" ht="17.15" hidden="false" customHeight="false" outlineLevel="0" collapsed="false">
      <c r="A123" s="2" t="s">
        <v>474</v>
      </c>
      <c r="B123" s="3" t="s">
        <v>475</v>
      </c>
      <c r="C123" s="2" t="s">
        <v>479</v>
      </c>
      <c r="D123" s="3" t="s">
        <v>480</v>
      </c>
      <c r="E123" s="3" t="s">
        <v>23</v>
      </c>
      <c r="F123" s="2" t="s">
        <v>352</v>
      </c>
      <c r="G123" s="2" t="s">
        <v>15</v>
      </c>
      <c r="H123" s="2" t="s">
        <v>15</v>
      </c>
      <c r="I123" s="2" t="s">
        <v>83</v>
      </c>
    </row>
    <row r="124" customFormat="false" ht="17.15" hidden="false" customHeight="false" outlineLevel="0" collapsed="false">
      <c r="A124" s="2" t="s">
        <v>474</v>
      </c>
      <c r="B124" s="3" t="s">
        <v>475</v>
      </c>
      <c r="C124" s="2" t="s">
        <v>481</v>
      </c>
      <c r="D124" s="3" t="s">
        <v>482</v>
      </c>
      <c r="E124" s="3" t="s">
        <v>41</v>
      </c>
      <c r="F124" s="2" t="s">
        <v>483</v>
      </c>
      <c r="G124" s="2" t="s">
        <v>15</v>
      </c>
      <c r="H124" s="2" t="s">
        <v>15</v>
      </c>
      <c r="I124" s="2" t="s">
        <v>83</v>
      </c>
    </row>
    <row r="125" customFormat="false" ht="17.15" hidden="false" customHeight="false" outlineLevel="0" collapsed="false">
      <c r="A125" s="2" t="s">
        <v>484</v>
      </c>
      <c r="B125" s="3" t="s">
        <v>485</v>
      </c>
      <c r="C125" s="2" t="s">
        <v>486</v>
      </c>
      <c r="D125" s="3" t="s">
        <v>487</v>
      </c>
      <c r="E125" s="3" t="s">
        <v>23</v>
      </c>
      <c r="F125" s="2" t="s">
        <v>488</v>
      </c>
      <c r="G125" s="3" t="e">
        <f aca="false">南郑=</f>
        <v>#N/A</v>
      </c>
      <c r="H125" s="2" t="s">
        <v>399</v>
      </c>
      <c r="I125" s="2" t="s">
        <v>83</v>
      </c>
    </row>
    <row r="126" customFormat="false" ht="17.15" hidden="false" customHeight="false" outlineLevel="0" collapsed="false">
      <c r="A126" s="2" t="s">
        <v>484</v>
      </c>
      <c r="B126" s="3" t="s">
        <v>485</v>
      </c>
      <c r="C126" s="2" t="s">
        <v>489</v>
      </c>
      <c r="D126" s="3" t="s">
        <v>490</v>
      </c>
      <c r="E126" s="3" t="s">
        <v>75</v>
      </c>
      <c r="F126" s="2" t="s">
        <v>491</v>
      </c>
      <c r="G126" s="3" t="e">
        <f aca="false">垓下=</f>
        <v>#N/A</v>
      </c>
      <c r="H126" s="2" t="s">
        <v>492</v>
      </c>
      <c r="I126" s="2" t="s">
        <v>83</v>
      </c>
    </row>
    <row r="127" customFormat="false" ht="17.15" hidden="false" customHeight="false" outlineLevel="0" collapsed="false">
      <c r="A127" s="2" t="s">
        <v>484</v>
      </c>
      <c r="B127" s="3" t="s">
        <v>485</v>
      </c>
      <c r="C127" s="2" t="s">
        <v>493</v>
      </c>
      <c r="D127" s="3" t="s">
        <v>494</v>
      </c>
      <c r="E127" s="3" t="s">
        <v>124</v>
      </c>
      <c r="F127" s="2" t="s">
        <v>491</v>
      </c>
      <c r="G127" s="3" t="e">
        <f aca="false">定陶=</f>
        <v>#N/A</v>
      </c>
      <c r="H127" s="2" t="s">
        <v>15</v>
      </c>
      <c r="I127" s="2" t="s">
        <v>83</v>
      </c>
    </row>
    <row r="128" customFormat="false" ht="17.15" hidden="false" customHeight="false" outlineLevel="0" collapsed="false">
      <c r="A128" s="2" t="s">
        <v>484</v>
      </c>
      <c r="B128" s="3" t="s">
        <v>485</v>
      </c>
      <c r="C128" s="2" t="s">
        <v>495</v>
      </c>
      <c r="D128" s="3" t="s">
        <v>496</v>
      </c>
      <c r="E128" s="3" t="s">
        <v>257</v>
      </c>
      <c r="F128" s="2" t="s">
        <v>342</v>
      </c>
      <c r="G128" s="3" t="e">
        <f aca="false">长安=</f>
        <v>#N/A</v>
      </c>
      <c r="H128" s="2" t="s">
        <v>15</v>
      </c>
      <c r="I128" s="2" t="s">
        <v>83</v>
      </c>
    </row>
    <row r="129" customFormat="false" ht="17.15" hidden="false" customHeight="false" outlineLevel="0" collapsed="false">
      <c r="A129" s="2" t="s">
        <v>484</v>
      </c>
      <c r="B129" s="3" t="s">
        <v>485</v>
      </c>
      <c r="C129" s="2" t="s">
        <v>497</v>
      </c>
      <c r="D129" s="3" t="s">
        <v>498</v>
      </c>
      <c r="E129" s="3" t="s">
        <v>75</v>
      </c>
      <c r="F129" s="2" t="s">
        <v>499</v>
      </c>
      <c r="G129" s="3" t="e">
        <f aca="false">平城=</f>
        <v>#N/A</v>
      </c>
      <c r="H129" s="2" t="s">
        <v>15</v>
      </c>
      <c r="I129" s="2" t="s">
        <v>83</v>
      </c>
    </row>
    <row r="130" customFormat="false" ht="17.15" hidden="false" customHeight="false" outlineLevel="0" collapsed="false">
      <c r="A130" s="2" t="s">
        <v>484</v>
      </c>
      <c r="B130" s="3" t="s">
        <v>485</v>
      </c>
      <c r="C130" s="2" t="s">
        <v>500</v>
      </c>
      <c r="D130" s="3" t="s">
        <v>501</v>
      </c>
      <c r="E130" s="3" t="s">
        <v>257</v>
      </c>
      <c r="F130" s="2" t="s">
        <v>502</v>
      </c>
      <c r="G130" s="2" t="s">
        <v>15</v>
      </c>
      <c r="H130" s="2" t="s">
        <v>15</v>
      </c>
      <c r="I130" s="2" t="s">
        <v>83</v>
      </c>
    </row>
    <row r="131" customFormat="false" ht="17.15" hidden="false" customHeight="false" outlineLevel="0" collapsed="false">
      <c r="A131" s="2" t="s">
        <v>484</v>
      </c>
      <c r="B131" s="3" t="s">
        <v>485</v>
      </c>
      <c r="C131" s="2" t="s">
        <v>503</v>
      </c>
      <c r="D131" s="3" t="s">
        <v>504</v>
      </c>
      <c r="E131" s="3" t="s">
        <v>75</v>
      </c>
      <c r="F131" s="2" t="s">
        <v>391</v>
      </c>
      <c r="G131" s="2" t="s">
        <v>15</v>
      </c>
      <c r="H131" s="2" t="s">
        <v>392</v>
      </c>
      <c r="I131" s="2" t="s">
        <v>83</v>
      </c>
    </row>
    <row r="132" customFormat="false" ht="32.8" hidden="false" customHeight="false" outlineLevel="0" collapsed="false">
      <c r="A132" s="2" t="s">
        <v>484</v>
      </c>
      <c r="B132" s="3" t="s">
        <v>485</v>
      </c>
      <c r="C132" s="2" t="s">
        <v>505</v>
      </c>
      <c r="D132" s="3" t="s">
        <v>506</v>
      </c>
      <c r="E132" s="3" t="s">
        <v>41</v>
      </c>
      <c r="F132" s="2" t="s">
        <v>358</v>
      </c>
      <c r="G132" s="2" t="s">
        <v>15</v>
      </c>
      <c r="H132" s="2" t="s">
        <v>507</v>
      </c>
      <c r="I132" s="2" t="s">
        <v>83</v>
      </c>
    </row>
    <row r="133" customFormat="false" ht="32.8" hidden="false" customHeight="false" outlineLevel="0" collapsed="false">
      <c r="A133" s="2" t="s">
        <v>484</v>
      </c>
      <c r="B133" s="3" t="s">
        <v>485</v>
      </c>
      <c r="C133" s="2" t="s">
        <v>508</v>
      </c>
      <c r="D133" s="3" t="s">
        <v>509</v>
      </c>
      <c r="E133" s="3" t="s">
        <v>124</v>
      </c>
      <c r="F133" s="2" t="s">
        <v>346</v>
      </c>
      <c r="G133" s="3" t="e">
        <f aca="false">长陵=</f>
        <v>#N/A</v>
      </c>
      <c r="H133" s="2" t="s">
        <v>15</v>
      </c>
      <c r="I133" s="2" t="s">
        <v>83</v>
      </c>
    </row>
    <row r="134" customFormat="false" ht="17.15" hidden="false" customHeight="false" outlineLevel="0" collapsed="false">
      <c r="A134" s="2" t="s">
        <v>484</v>
      </c>
      <c r="B134" s="3" t="s">
        <v>485</v>
      </c>
      <c r="C134" s="2" t="s">
        <v>510</v>
      </c>
      <c r="D134" s="3" t="s">
        <v>401</v>
      </c>
      <c r="E134" s="3" t="s">
        <v>23</v>
      </c>
      <c r="F134" s="2" t="s">
        <v>402</v>
      </c>
      <c r="G134" s="2" t="s">
        <v>15</v>
      </c>
      <c r="H134" s="2" t="s">
        <v>403</v>
      </c>
      <c r="I134" s="2" t="s">
        <v>83</v>
      </c>
    </row>
    <row r="135" customFormat="false" ht="17.15" hidden="false" customHeight="false" outlineLevel="0" collapsed="false">
      <c r="A135" s="2" t="s">
        <v>484</v>
      </c>
      <c r="B135" s="3" t="s">
        <v>485</v>
      </c>
      <c r="C135" s="2" t="s">
        <v>511</v>
      </c>
      <c r="D135" s="3" t="s">
        <v>512</v>
      </c>
      <c r="E135" s="3" t="s">
        <v>41</v>
      </c>
      <c r="F135" s="2" t="s">
        <v>365</v>
      </c>
      <c r="G135" s="2" t="s">
        <v>15</v>
      </c>
      <c r="H135" s="2" t="s">
        <v>407</v>
      </c>
      <c r="I135" s="2" t="s">
        <v>83</v>
      </c>
    </row>
    <row r="136" customFormat="false" ht="17.15" hidden="false" customHeight="false" outlineLevel="0" collapsed="false">
      <c r="A136" s="2" t="s">
        <v>484</v>
      </c>
      <c r="B136" s="3" t="s">
        <v>485</v>
      </c>
      <c r="C136" s="2" t="s">
        <v>513</v>
      </c>
      <c r="D136" s="3" t="s">
        <v>514</v>
      </c>
      <c r="E136" s="3" t="s">
        <v>32</v>
      </c>
      <c r="F136" s="2" t="s">
        <v>515</v>
      </c>
      <c r="G136" s="2" t="s">
        <v>15</v>
      </c>
      <c r="H136" s="2" t="s">
        <v>15</v>
      </c>
      <c r="I136" s="2" t="s">
        <v>83</v>
      </c>
    </row>
    <row r="137" customFormat="false" ht="17.15" hidden="false" customHeight="false" outlineLevel="0" collapsed="false">
      <c r="A137" s="2" t="s">
        <v>484</v>
      </c>
      <c r="B137" s="3" t="s">
        <v>485</v>
      </c>
      <c r="C137" s="2" t="s">
        <v>516</v>
      </c>
      <c r="D137" s="3" t="s">
        <v>517</v>
      </c>
      <c r="E137" s="3" t="s">
        <v>75</v>
      </c>
      <c r="F137" s="2" t="s">
        <v>518</v>
      </c>
      <c r="G137" s="2" t="s">
        <v>15</v>
      </c>
      <c r="H137" s="2" t="s">
        <v>15</v>
      </c>
      <c r="I137" s="2" t="s">
        <v>83</v>
      </c>
    </row>
    <row r="138" customFormat="false" ht="32.8" hidden="false" customHeight="false" outlineLevel="0" collapsed="false">
      <c r="A138" s="2" t="s">
        <v>484</v>
      </c>
      <c r="B138" s="3" t="s">
        <v>485</v>
      </c>
      <c r="C138" s="2" t="s">
        <v>519</v>
      </c>
      <c r="D138" s="3" t="s">
        <v>520</v>
      </c>
      <c r="E138" s="3" t="s">
        <v>75</v>
      </c>
      <c r="F138" s="2" t="s">
        <v>521</v>
      </c>
      <c r="G138" s="3" t="e">
        <f aca="false">萧关=</f>
        <v>#N/A</v>
      </c>
      <c r="H138" s="2" t="s">
        <v>15</v>
      </c>
      <c r="I138" s="2" t="s">
        <v>83</v>
      </c>
    </row>
    <row r="139" customFormat="false" ht="32.8" hidden="false" customHeight="false" outlineLevel="0" collapsed="false">
      <c r="A139" s="2" t="s">
        <v>484</v>
      </c>
      <c r="B139" s="3" t="s">
        <v>485</v>
      </c>
      <c r="C139" s="2" t="s">
        <v>522</v>
      </c>
      <c r="D139" s="3" t="s">
        <v>523</v>
      </c>
      <c r="E139" s="3" t="s">
        <v>32</v>
      </c>
      <c r="F139" s="2" t="s">
        <v>524</v>
      </c>
      <c r="G139" s="2" t="s">
        <v>15</v>
      </c>
      <c r="H139" s="2" t="s">
        <v>15</v>
      </c>
      <c r="I139" s="2" t="s">
        <v>83</v>
      </c>
    </row>
    <row r="140" customFormat="false" ht="32.8" hidden="false" customHeight="false" outlineLevel="0" collapsed="false">
      <c r="A140" s="2" t="s">
        <v>484</v>
      </c>
      <c r="B140" s="3" t="s">
        <v>485</v>
      </c>
      <c r="C140" s="2" t="s">
        <v>525</v>
      </c>
      <c r="D140" s="3" t="s">
        <v>526</v>
      </c>
      <c r="E140" s="3" t="s">
        <v>75</v>
      </c>
      <c r="F140" s="2" t="s">
        <v>527</v>
      </c>
      <c r="G140" s="3" t="e">
        <f aca="false">细柳=</f>
        <v>#N/A</v>
      </c>
      <c r="H140" s="2" t="s">
        <v>528</v>
      </c>
      <c r="I140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64.15" hidden="false" customHeight="fals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3" t="s">
        <v>533</v>
      </c>
      <c r="I2" s="2" t="s">
        <v>534</v>
      </c>
      <c r="J2" s="2" t="s">
        <v>535</v>
      </c>
      <c r="K2" s="3" t="s">
        <v>536</v>
      </c>
    </row>
    <row r="3" customFormat="false" ht="95.5" hidden="false" customHeight="false" outlineLevel="0" collapsed="false">
      <c r="A3" s="2" t="s">
        <v>18</v>
      </c>
      <c r="B3" s="3" t="s">
        <v>19</v>
      </c>
      <c r="C3" s="3" t="s">
        <v>13</v>
      </c>
      <c r="D3" s="2" t="s">
        <v>20</v>
      </c>
      <c r="E3" s="3" t="e">
        <f aca="false">共和=</f>
        <v>#N/A</v>
      </c>
      <c r="F3" s="2" t="s">
        <v>15</v>
      </c>
      <c r="G3" s="2" t="s">
        <v>15</v>
      </c>
      <c r="H3" s="3" t="s">
        <v>537</v>
      </c>
      <c r="I3" s="2" t="s">
        <v>538</v>
      </c>
      <c r="J3" s="2" t="s">
        <v>539</v>
      </c>
      <c r="K3" s="3" t="s">
        <v>540</v>
      </c>
    </row>
    <row r="4" customFormat="false" ht="95.5" hidden="false" customHeight="false" outlineLevel="0" collapsed="false">
      <c r="A4" s="2" t="s">
        <v>21</v>
      </c>
      <c r="B4" s="3" t="s">
        <v>22</v>
      </c>
      <c r="C4" s="3" t="s">
        <v>23</v>
      </c>
      <c r="D4" s="3" t="s">
        <v>24</v>
      </c>
      <c r="E4" s="2" t="s">
        <v>15</v>
      </c>
      <c r="F4" s="2" t="s">
        <v>25</v>
      </c>
      <c r="G4" s="2" t="s">
        <v>17</v>
      </c>
      <c r="H4" s="3" t="s">
        <v>541</v>
      </c>
      <c r="I4" s="2" t="s">
        <v>542</v>
      </c>
      <c r="J4" s="3" t="s">
        <v>543</v>
      </c>
      <c r="K4" s="3" t="s">
        <v>544</v>
      </c>
    </row>
    <row r="5" customFormat="false" ht="32.8" hidden="false" customHeight="false" outlineLevel="0" collapsed="false">
      <c r="A5" s="2" t="s">
        <v>26</v>
      </c>
      <c r="B5" s="3" t="s">
        <v>27</v>
      </c>
      <c r="C5" s="3" t="s">
        <v>23</v>
      </c>
      <c r="D5" s="2" t="s">
        <v>28</v>
      </c>
      <c r="E5" s="2" t="s">
        <v>15</v>
      </c>
      <c r="F5" s="2" t="s">
        <v>29</v>
      </c>
      <c r="G5" s="2" t="s">
        <v>17</v>
      </c>
      <c r="H5" s="3" t="s">
        <v>545</v>
      </c>
      <c r="I5" s="2" t="s">
        <v>546</v>
      </c>
      <c r="J5" s="3" t="s">
        <v>543</v>
      </c>
      <c r="K5" s="3" t="s">
        <v>547</v>
      </c>
    </row>
    <row r="6" customFormat="false" ht="32.8" hidden="false" customHeight="false" outlineLevel="0" collapsed="false">
      <c r="A6" s="2" t="s">
        <v>30</v>
      </c>
      <c r="B6" s="3" t="s">
        <v>31</v>
      </c>
      <c r="C6" s="3" t="s">
        <v>32</v>
      </c>
      <c r="D6" s="2" t="s">
        <v>33</v>
      </c>
      <c r="E6" s="2" t="s">
        <v>15</v>
      </c>
      <c r="F6" s="2" t="s">
        <v>34</v>
      </c>
      <c r="G6" s="2" t="s">
        <v>17</v>
      </c>
      <c r="H6" s="3" t="s">
        <v>548</v>
      </c>
      <c r="I6" s="2" t="s">
        <v>549</v>
      </c>
      <c r="J6" s="3" t="s">
        <v>543</v>
      </c>
      <c r="K6" s="3" t="s">
        <v>550</v>
      </c>
    </row>
    <row r="7" customFormat="false" ht="64.15" hidden="false" customHeight="false" outlineLevel="0" collapsed="false">
      <c r="A7" s="2" t="s">
        <v>35</v>
      </c>
      <c r="B7" s="3" t="s">
        <v>36</v>
      </c>
      <c r="C7" s="3" t="s">
        <v>23</v>
      </c>
      <c r="D7" s="2" t="s">
        <v>37</v>
      </c>
      <c r="E7" s="2" t="s">
        <v>15</v>
      </c>
      <c r="F7" s="2" t="s">
        <v>38</v>
      </c>
      <c r="G7" s="2" t="s">
        <v>17</v>
      </c>
      <c r="H7" s="3" t="s">
        <v>551</v>
      </c>
      <c r="I7" s="2" t="s">
        <v>552</v>
      </c>
      <c r="J7" s="3" t="s">
        <v>543</v>
      </c>
      <c r="K7" s="3" t="s">
        <v>553</v>
      </c>
    </row>
    <row r="8" customFormat="false" ht="32.8" hidden="false" customHeight="false" outlineLevel="0" collapsed="false">
      <c r="A8" s="2" t="s">
        <v>39</v>
      </c>
      <c r="B8" s="3" t="s">
        <v>40</v>
      </c>
      <c r="C8" s="3" t="s">
        <v>41</v>
      </c>
      <c r="D8" s="3" t="s">
        <v>42</v>
      </c>
      <c r="E8" s="2" t="s">
        <v>15</v>
      </c>
      <c r="F8" s="2" t="s">
        <v>43</v>
      </c>
      <c r="G8" s="2" t="s">
        <v>44</v>
      </c>
      <c r="H8" s="3" t="s">
        <v>554</v>
      </c>
      <c r="I8" s="2" t="s">
        <v>555</v>
      </c>
      <c r="J8" s="3" t="s">
        <v>543</v>
      </c>
      <c r="K8" s="2" t="s">
        <v>556</v>
      </c>
    </row>
    <row r="9" customFormat="false" ht="32.8" hidden="false" customHeight="false" outlineLevel="0" collapsed="false">
      <c r="A9" s="2" t="s">
        <v>45</v>
      </c>
      <c r="B9" s="3" t="s">
        <v>46</v>
      </c>
      <c r="C9" s="3" t="s">
        <v>23</v>
      </c>
      <c r="D9" s="3" t="s">
        <v>47</v>
      </c>
      <c r="E9" s="3" t="e">
        <f aca="false">彘=</f>
        <v>#N/A</v>
      </c>
      <c r="F9" s="2" t="s">
        <v>48</v>
      </c>
      <c r="G9" s="2" t="s">
        <v>17</v>
      </c>
      <c r="H9" s="3" t="s">
        <v>557</v>
      </c>
      <c r="I9" s="2" t="s">
        <v>558</v>
      </c>
      <c r="J9" s="3" t="s">
        <v>543</v>
      </c>
      <c r="K9" s="3" t="s">
        <v>559</v>
      </c>
    </row>
    <row r="10" customFormat="false" ht="32.8" hidden="false" customHeight="false" outlineLevel="0" collapsed="false">
      <c r="A10" s="2" t="s">
        <v>49</v>
      </c>
      <c r="B10" s="3" t="s">
        <v>50</v>
      </c>
      <c r="C10" s="3" t="s">
        <v>23</v>
      </c>
      <c r="D10" s="3" t="s">
        <v>47</v>
      </c>
      <c r="E10" s="2" t="s">
        <v>15</v>
      </c>
      <c r="F10" s="2" t="s">
        <v>15</v>
      </c>
      <c r="G10" s="2" t="s">
        <v>17</v>
      </c>
      <c r="H10" s="3" t="s">
        <v>560</v>
      </c>
      <c r="I10" s="2" t="s">
        <v>561</v>
      </c>
      <c r="J10" s="3" t="s">
        <v>543</v>
      </c>
      <c r="K10" s="3" t="s">
        <v>562</v>
      </c>
    </row>
    <row r="11" customFormat="false" ht="79.85" hidden="false" customHeight="false" outlineLevel="0" collapsed="false">
      <c r="A11" s="2" t="s">
        <v>51</v>
      </c>
      <c r="B11" s="3" t="s">
        <v>52</v>
      </c>
      <c r="C11" s="3" t="s">
        <v>53</v>
      </c>
      <c r="D11" s="2" t="s">
        <v>54</v>
      </c>
      <c r="E11" s="3" t="e">
        <f aca="false">玄丘=</f>
        <v>#N/A</v>
      </c>
      <c r="F11" s="2" t="s">
        <v>55</v>
      </c>
      <c r="G11" s="2" t="s">
        <v>56</v>
      </c>
      <c r="H11" s="3" t="s">
        <v>563</v>
      </c>
      <c r="I11" s="2" t="s">
        <v>564</v>
      </c>
      <c r="J11" s="2" t="s">
        <v>565</v>
      </c>
      <c r="K11" s="3" t="s">
        <v>566</v>
      </c>
    </row>
    <row r="12" customFormat="false" ht="79.85" hidden="false" customHeight="false" outlineLevel="0" collapsed="false">
      <c r="A12" s="2" t="s">
        <v>57</v>
      </c>
      <c r="B12" s="3" t="s">
        <v>58</v>
      </c>
      <c r="C12" s="3" t="s">
        <v>53</v>
      </c>
      <c r="D12" s="2" t="s">
        <v>54</v>
      </c>
      <c r="E12" s="2" t="s">
        <v>15</v>
      </c>
      <c r="F12" s="2" t="s">
        <v>59</v>
      </c>
      <c r="G12" s="2" t="s">
        <v>17</v>
      </c>
      <c r="H12" s="3" t="s">
        <v>567</v>
      </c>
      <c r="I12" s="2" t="s">
        <v>568</v>
      </c>
      <c r="J12" s="2" t="s">
        <v>569</v>
      </c>
      <c r="K12" s="3" t="s">
        <v>570</v>
      </c>
    </row>
    <row r="13" customFormat="false" ht="64.15" hidden="false" customHeight="false" outlineLevel="0" collapsed="false">
      <c r="A13" s="2" t="s">
        <v>60</v>
      </c>
      <c r="B13" s="3" t="s">
        <v>61</v>
      </c>
      <c r="C13" s="3" t="s">
        <v>23</v>
      </c>
      <c r="D13" s="2" t="s">
        <v>62</v>
      </c>
      <c r="E13" s="2" t="s">
        <v>15</v>
      </c>
      <c r="F13" s="2" t="s">
        <v>63</v>
      </c>
      <c r="G13" s="2" t="s">
        <v>56</v>
      </c>
      <c r="H13" s="3" t="s">
        <v>571</v>
      </c>
      <c r="I13" s="2" t="s">
        <v>572</v>
      </c>
      <c r="J13" s="2" t="s">
        <v>573</v>
      </c>
      <c r="K13" s="3" t="s">
        <v>574</v>
      </c>
    </row>
    <row r="14" customFormat="false" ht="48.5" hidden="false" customHeight="false" outlineLevel="0" collapsed="false">
      <c r="A14" s="2" t="s">
        <v>64</v>
      </c>
      <c r="B14" s="3" t="s">
        <v>65</v>
      </c>
      <c r="C14" s="3" t="s">
        <v>23</v>
      </c>
      <c r="D14" s="2" t="s">
        <v>66</v>
      </c>
      <c r="E14" s="2" t="s">
        <v>15</v>
      </c>
      <c r="F14" s="2" t="s">
        <v>67</v>
      </c>
      <c r="G14" s="2" t="s">
        <v>17</v>
      </c>
      <c r="H14" s="3" t="s">
        <v>575</v>
      </c>
      <c r="I14" s="2" t="s">
        <v>576</v>
      </c>
      <c r="J14" s="2" t="s">
        <v>577</v>
      </c>
      <c r="K14" s="3" t="s">
        <v>578</v>
      </c>
    </row>
    <row r="15" customFormat="false" ht="64.15" hidden="false" customHeight="false" outlineLevel="0" collapsed="false">
      <c r="A15" s="2" t="s">
        <v>68</v>
      </c>
      <c r="B15" s="3" t="s">
        <v>69</v>
      </c>
      <c r="C15" s="3" t="s">
        <v>23</v>
      </c>
      <c r="D15" s="3" t="s">
        <v>70</v>
      </c>
      <c r="E15" s="2" t="s">
        <v>71</v>
      </c>
      <c r="F15" s="2" t="s">
        <v>72</v>
      </c>
      <c r="G15" s="2" t="s">
        <v>17</v>
      </c>
      <c r="H15" s="3" t="s">
        <v>579</v>
      </c>
      <c r="I15" s="2" t="s">
        <v>580</v>
      </c>
      <c r="J15" s="2" t="s">
        <v>581</v>
      </c>
      <c r="K15" s="3" t="s">
        <v>582</v>
      </c>
    </row>
    <row r="16" customFormat="false" ht="32.8" hidden="false" customHeight="false" outlineLevel="0" collapsed="false">
      <c r="A16" s="2" t="s">
        <v>73</v>
      </c>
      <c r="B16" s="3" t="s">
        <v>74</v>
      </c>
      <c r="C16" s="3" t="s">
        <v>75</v>
      </c>
      <c r="D16" s="3" t="s">
        <v>76</v>
      </c>
      <c r="E16" s="2" t="s">
        <v>71</v>
      </c>
      <c r="F16" s="2" t="s">
        <v>77</v>
      </c>
      <c r="G16" s="2" t="s">
        <v>78</v>
      </c>
      <c r="H16" s="3" t="s">
        <v>583</v>
      </c>
      <c r="I16" s="2" t="s">
        <v>584</v>
      </c>
      <c r="J16" s="2" t="s">
        <v>581</v>
      </c>
      <c r="K16" s="3" t="s">
        <v>585</v>
      </c>
    </row>
    <row r="17" customFormat="false" ht="64.15" hidden="false" customHeight="false" outlineLevel="0" collapsed="false">
      <c r="A17" s="2" t="s">
        <v>79</v>
      </c>
      <c r="B17" s="3" t="s">
        <v>80</v>
      </c>
      <c r="C17" s="3" t="s">
        <v>23</v>
      </c>
      <c r="D17" s="3" t="s">
        <v>81</v>
      </c>
      <c r="E17" s="3" t="e">
        <f aca="false">平阳=</f>
        <v>#N/A</v>
      </c>
      <c r="F17" s="2" t="s">
        <v>82</v>
      </c>
      <c r="G17" s="2" t="s">
        <v>83</v>
      </c>
      <c r="H17" s="3" t="s">
        <v>586</v>
      </c>
      <c r="I17" s="2" t="s">
        <v>587</v>
      </c>
      <c r="J17" s="2" t="s">
        <v>588</v>
      </c>
      <c r="K17" s="3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79.85" hidden="false" customHeight="false" outlineLevel="0" collapsed="false">
      <c r="A2" s="2" t="s">
        <v>86</v>
      </c>
      <c r="B2" s="3" t="s">
        <v>87</v>
      </c>
      <c r="C2" s="3" t="s">
        <v>23</v>
      </c>
      <c r="D2" s="2" t="s">
        <v>88</v>
      </c>
      <c r="E2" s="2" t="s">
        <v>15</v>
      </c>
      <c r="F2" s="2" t="s">
        <v>89</v>
      </c>
      <c r="G2" s="2" t="s">
        <v>56</v>
      </c>
      <c r="H2" s="3" t="s">
        <v>590</v>
      </c>
      <c r="I2" s="2" t="s">
        <v>591</v>
      </c>
      <c r="J2" s="2" t="s">
        <v>535</v>
      </c>
      <c r="K2" s="3" t="s">
        <v>592</v>
      </c>
    </row>
    <row r="3" customFormat="false" ht="64.15" hidden="false" customHeight="false" outlineLevel="0" collapsed="false">
      <c r="A3" s="2" t="s">
        <v>90</v>
      </c>
      <c r="B3" s="3" t="s">
        <v>91</v>
      </c>
      <c r="C3" s="3" t="s">
        <v>23</v>
      </c>
      <c r="D3" s="3" t="s">
        <v>47</v>
      </c>
      <c r="E3" s="3" t="e">
        <f aca="false">彘=</f>
        <v>#N/A</v>
      </c>
      <c r="F3" s="2" t="s">
        <v>92</v>
      </c>
      <c r="G3" s="2" t="s">
        <v>17</v>
      </c>
      <c r="H3" s="3" t="s">
        <v>593</v>
      </c>
      <c r="I3" s="2" t="s">
        <v>594</v>
      </c>
      <c r="J3" s="2" t="s">
        <v>595</v>
      </c>
      <c r="K3" s="3" t="s">
        <v>596</v>
      </c>
    </row>
    <row r="4" customFormat="false" ht="64.15" hidden="false" customHeight="false" outlineLevel="0" collapsed="false">
      <c r="A4" s="2" t="s">
        <v>93</v>
      </c>
      <c r="B4" s="3" t="s">
        <v>94</v>
      </c>
      <c r="C4" s="3" t="s">
        <v>23</v>
      </c>
      <c r="D4" s="2" t="s">
        <v>95</v>
      </c>
      <c r="E4" s="2" t="s">
        <v>15</v>
      </c>
      <c r="F4" s="2" t="s">
        <v>15</v>
      </c>
      <c r="G4" s="2" t="s">
        <v>96</v>
      </c>
      <c r="H4" s="3" t="s">
        <v>597</v>
      </c>
      <c r="I4" s="2" t="s">
        <v>598</v>
      </c>
      <c r="J4" s="2" t="s">
        <v>599</v>
      </c>
      <c r="K4" s="3" t="s">
        <v>600</v>
      </c>
    </row>
    <row r="5" customFormat="false" ht="64.15" hidden="false" customHeight="false" outlineLevel="0" collapsed="false">
      <c r="A5" s="2" t="s">
        <v>97</v>
      </c>
      <c r="B5" s="3" t="s">
        <v>98</v>
      </c>
      <c r="C5" s="3" t="s">
        <v>13</v>
      </c>
      <c r="D5" s="3" t="s">
        <v>14</v>
      </c>
      <c r="E5" s="2" t="s">
        <v>99</v>
      </c>
      <c r="F5" s="2" t="s">
        <v>16</v>
      </c>
      <c r="G5" s="2" t="s">
        <v>17</v>
      </c>
      <c r="H5" s="3" t="s">
        <v>601</v>
      </c>
      <c r="I5" s="2" t="s">
        <v>602</v>
      </c>
      <c r="J5" s="2" t="s">
        <v>603</v>
      </c>
      <c r="K5" s="3" t="s">
        <v>604</v>
      </c>
    </row>
    <row r="6" customFormat="false" ht="79.85" hidden="false" customHeight="false" outlineLevel="0" collapsed="false">
      <c r="A6" s="2" t="s">
        <v>100</v>
      </c>
      <c r="B6" s="3" t="s">
        <v>101</v>
      </c>
      <c r="C6" s="3" t="s">
        <v>13</v>
      </c>
      <c r="D6" s="2" t="s">
        <v>102</v>
      </c>
      <c r="E6" s="2" t="s">
        <v>99</v>
      </c>
      <c r="F6" s="2" t="s">
        <v>103</v>
      </c>
      <c r="G6" s="2" t="s">
        <v>99</v>
      </c>
      <c r="H6" s="3" t="s">
        <v>605</v>
      </c>
      <c r="I6" s="2" t="s">
        <v>606</v>
      </c>
      <c r="J6" s="2" t="s">
        <v>573</v>
      </c>
      <c r="K6" s="3" t="s">
        <v>607</v>
      </c>
    </row>
    <row r="7" customFormat="false" ht="79.85" hidden="false" customHeight="false" outlineLevel="0" collapsed="false">
      <c r="A7" s="2" t="s">
        <v>104</v>
      </c>
      <c r="B7" s="3" t="s">
        <v>105</v>
      </c>
      <c r="C7" s="3" t="s">
        <v>13</v>
      </c>
      <c r="D7" s="2" t="s">
        <v>106</v>
      </c>
      <c r="E7" s="2" t="s">
        <v>15</v>
      </c>
      <c r="F7" s="2" t="s">
        <v>107</v>
      </c>
      <c r="G7" s="2" t="s">
        <v>108</v>
      </c>
      <c r="H7" s="3" t="s">
        <v>608</v>
      </c>
      <c r="I7" s="2" t="s">
        <v>609</v>
      </c>
      <c r="J7" s="2" t="s">
        <v>565</v>
      </c>
      <c r="K7" s="3" t="s">
        <v>610</v>
      </c>
    </row>
    <row r="8" customFormat="false" ht="48.5" hidden="false" customHeight="false" outlineLevel="0" collapsed="false">
      <c r="A8" s="2" t="s">
        <v>109</v>
      </c>
      <c r="B8" s="3" t="s">
        <v>110</v>
      </c>
      <c r="C8" s="3" t="s">
        <v>13</v>
      </c>
      <c r="D8" s="2" t="s">
        <v>111</v>
      </c>
      <c r="E8" s="2" t="s">
        <v>15</v>
      </c>
      <c r="F8" s="2" t="s">
        <v>112</v>
      </c>
      <c r="G8" s="2" t="s">
        <v>113</v>
      </c>
      <c r="H8" s="3" t="s">
        <v>611</v>
      </c>
      <c r="I8" s="2" t="s">
        <v>612</v>
      </c>
      <c r="J8" s="2" t="s">
        <v>613</v>
      </c>
      <c r="K8" s="3" t="s">
        <v>614</v>
      </c>
    </row>
    <row r="9" customFormat="false" ht="95.5" hidden="false" customHeight="false" outlineLevel="0" collapsed="false">
      <c r="A9" s="2" t="s">
        <v>114</v>
      </c>
      <c r="B9" s="3" t="s">
        <v>115</v>
      </c>
      <c r="C9" s="3" t="s">
        <v>13</v>
      </c>
      <c r="D9" s="2" t="s">
        <v>116</v>
      </c>
      <c r="E9" s="2" t="s">
        <v>15</v>
      </c>
      <c r="F9" s="2" t="s">
        <v>117</v>
      </c>
      <c r="G9" s="2" t="s">
        <v>118</v>
      </c>
      <c r="H9" s="3" t="s">
        <v>615</v>
      </c>
      <c r="I9" s="2" t="s">
        <v>616</v>
      </c>
      <c r="J9" s="2" t="s">
        <v>617</v>
      </c>
      <c r="K9" s="3" t="s">
        <v>618</v>
      </c>
    </row>
    <row r="10" customFormat="false" ht="48.5" hidden="false" customHeight="false" outlineLevel="0" collapsed="false">
      <c r="A10" s="2" t="s">
        <v>119</v>
      </c>
      <c r="B10" s="3" t="s">
        <v>120</v>
      </c>
      <c r="C10" s="3" t="s">
        <v>23</v>
      </c>
      <c r="D10" s="2" t="s">
        <v>121</v>
      </c>
      <c r="E10" s="2" t="s">
        <v>15</v>
      </c>
      <c r="F10" s="2" t="s">
        <v>15</v>
      </c>
      <c r="G10" s="2" t="s">
        <v>17</v>
      </c>
      <c r="H10" s="3" t="s">
        <v>619</v>
      </c>
      <c r="I10" s="2" t="s">
        <v>620</v>
      </c>
      <c r="J10" s="3" t="s">
        <v>621</v>
      </c>
      <c r="K10" s="3" t="s">
        <v>622</v>
      </c>
    </row>
    <row r="11" customFormat="false" ht="64.15" hidden="false" customHeight="false" outlineLevel="0" collapsed="false">
      <c r="A11" s="2" t="s">
        <v>122</v>
      </c>
      <c r="B11" s="3" t="s">
        <v>123</v>
      </c>
      <c r="C11" s="3" t="s">
        <v>124</v>
      </c>
      <c r="D11" s="2" t="s">
        <v>125</v>
      </c>
      <c r="E11" s="2" t="s">
        <v>15</v>
      </c>
      <c r="F11" s="2" t="s">
        <v>126</v>
      </c>
      <c r="G11" s="2" t="s">
        <v>17</v>
      </c>
      <c r="H11" s="3" t="s">
        <v>623</v>
      </c>
      <c r="I11" s="2" t="s">
        <v>624</v>
      </c>
      <c r="J11" s="3" t="s">
        <v>625</v>
      </c>
      <c r="K11" s="3" t="s">
        <v>626</v>
      </c>
    </row>
    <row r="12" customFormat="false" ht="126.85" hidden="false" customHeight="false" outlineLevel="0" collapsed="false">
      <c r="A12" s="2" t="s">
        <v>127</v>
      </c>
      <c r="B12" s="3" t="s">
        <v>128</v>
      </c>
      <c r="C12" s="3" t="s">
        <v>41</v>
      </c>
      <c r="D12" s="2" t="s">
        <v>129</v>
      </c>
      <c r="E12" s="2" t="s">
        <v>99</v>
      </c>
      <c r="F12" s="2" t="s">
        <v>126</v>
      </c>
      <c r="G12" s="2" t="s">
        <v>130</v>
      </c>
      <c r="H12" s="3" t="s">
        <v>627</v>
      </c>
      <c r="I12" s="2" t="s">
        <v>628</v>
      </c>
      <c r="J12" s="3" t="s">
        <v>629</v>
      </c>
      <c r="K12" s="3" t="s">
        <v>630</v>
      </c>
    </row>
    <row r="13" customFormat="false" ht="48.5" hidden="false" customHeight="false" outlineLevel="0" collapsed="false">
      <c r="A13" s="2" t="s">
        <v>131</v>
      </c>
      <c r="B13" s="3" t="s">
        <v>132</v>
      </c>
      <c r="C13" s="3" t="s">
        <v>23</v>
      </c>
      <c r="D13" s="3" t="s">
        <v>133</v>
      </c>
      <c r="E13" s="2" t="s">
        <v>15</v>
      </c>
      <c r="F13" s="2" t="s">
        <v>134</v>
      </c>
      <c r="G13" s="2" t="s">
        <v>135</v>
      </c>
      <c r="H13" s="3" t="s">
        <v>631</v>
      </c>
      <c r="I13" s="2" t="s">
        <v>632</v>
      </c>
      <c r="J13" s="3" t="s">
        <v>633</v>
      </c>
      <c r="K13" s="3" t="s">
        <v>634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48.5" hidden="false" customHeight="false" outlineLevel="0" collapsed="false">
      <c r="A2" s="2" t="s">
        <v>138</v>
      </c>
      <c r="B2" s="3" t="s">
        <v>139</v>
      </c>
      <c r="C2" s="3" t="s">
        <v>75</v>
      </c>
      <c r="D2" s="3" t="s">
        <v>140</v>
      </c>
      <c r="E2" s="3" t="e">
        <f aca="false">洛邑=</f>
        <v>#N/A</v>
      </c>
      <c r="F2" s="2" t="s">
        <v>141</v>
      </c>
      <c r="G2" s="2" t="s">
        <v>17</v>
      </c>
      <c r="H2" s="3" t="s">
        <v>635</v>
      </c>
      <c r="I2" s="2" t="s">
        <v>636</v>
      </c>
      <c r="J2" s="2" t="s">
        <v>637</v>
      </c>
      <c r="K2" s="3" t="s">
        <v>638</v>
      </c>
    </row>
    <row r="3" customFormat="false" ht="32.8" hidden="false" customHeight="false" outlineLevel="0" collapsed="false">
      <c r="A3" s="2" t="s">
        <v>142</v>
      </c>
      <c r="B3" s="3" t="s">
        <v>143</v>
      </c>
      <c r="C3" s="3" t="s">
        <v>124</v>
      </c>
      <c r="D3" s="3" t="s">
        <v>144</v>
      </c>
      <c r="E3" s="2" t="s">
        <v>15</v>
      </c>
      <c r="F3" s="2" t="s">
        <v>145</v>
      </c>
      <c r="G3" s="2" t="s">
        <v>118</v>
      </c>
      <c r="H3" s="3" t="s">
        <v>639</v>
      </c>
      <c r="I3" s="2" t="s">
        <v>640</v>
      </c>
      <c r="J3" s="2" t="s">
        <v>637</v>
      </c>
      <c r="K3" s="3" t="s">
        <v>641</v>
      </c>
    </row>
    <row r="4" customFormat="false" ht="32.8" hidden="false" customHeight="false" outlineLevel="0" collapsed="false">
      <c r="A4" s="2" t="s">
        <v>146</v>
      </c>
      <c r="B4" s="3" t="s">
        <v>147</v>
      </c>
      <c r="C4" s="3" t="s">
        <v>75</v>
      </c>
      <c r="D4" s="3" t="s">
        <v>148</v>
      </c>
      <c r="E4" s="3" t="e">
        <f aca="false">陇=</f>
        <v>#N/A</v>
      </c>
      <c r="F4" s="2" t="s">
        <v>149</v>
      </c>
      <c r="G4" s="2" t="s">
        <v>118</v>
      </c>
      <c r="H4" s="3" t="s">
        <v>642</v>
      </c>
      <c r="I4" s="2" t="s">
        <v>643</v>
      </c>
      <c r="J4" s="2" t="s">
        <v>595</v>
      </c>
      <c r="K4" s="3" t="s">
        <v>644</v>
      </c>
    </row>
    <row r="5" customFormat="false" ht="48.5" hidden="false" customHeight="false" outlineLevel="0" collapsed="false">
      <c r="A5" s="2" t="s">
        <v>150</v>
      </c>
      <c r="B5" s="3" t="s">
        <v>151</v>
      </c>
      <c r="C5" s="3" t="s">
        <v>32</v>
      </c>
      <c r="D5" s="2" t="s">
        <v>152</v>
      </c>
      <c r="E5" s="3" t="e">
        <f aca="false">河=</f>
        <v>#N/A</v>
      </c>
      <c r="F5" s="2" t="s">
        <v>153</v>
      </c>
      <c r="G5" s="2" t="s">
        <v>118</v>
      </c>
      <c r="H5" s="3" t="s">
        <v>645</v>
      </c>
      <c r="I5" s="2" t="s">
        <v>646</v>
      </c>
      <c r="J5" s="2" t="s">
        <v>595</v>
      </c>
      <c r="K5" s="3" t="s">
        <v>647</v>
      </c>
    </row>
    <row r="6" customFormat="false" ht="32.8" hidden="false" customHeight="false" outlineLevel="0" collapsed="false">
      <c r="A6" s="2" t="s">
        <v>154</v>
      </c>
      <c r="B6" s="3" t="s">
        <v>155</v>
      </c>
      <c r="C6" s="3" t="s">
        <v>41</v>
      </c>
      <c r="D6" s="3" t="s">
        <v>14</v>
      </c>
      <c r="E6" s="2" t="s">
        <v>15</v>
      </c>
      <c r="F6" s="2" t="s">
        <v>156</v>
      </c>
      <c r="G6" s="2" t="s">
        <v>44</v>
      </c>
      <c r="H6" s="3" t="s">
        <v>648</v>
      </c>
      <c r="I6" s="2" t="s">
        <v>649</v>
      </c>
      <c r="J6" s="2" t="s">
        <v>650</v>
      </c>
      <c r="K6" s="3" t="s">
        <v>651</v>
      </c>
    </row>
    <row r="7" customFormat="false" ht="48.5" hidden="false" customHeight="false" outlineLevel="0" collapsed="false">
      <c r="A7" s="2" t="s">
        <v>157</v>
      </c>
      <c r="B7" s="3" t="s">
        <v>158</v>
      </c>
      <c r="C7" s="3" t="s">
        <v>23</v>
      </c>
      <c r="D7" s="3" t="s">
        <v>159</v>
      </c>
      <c r="E7" s="2" t="s">
        <v>15</v>
      </c>
      <c r="F7" s="2" t="s">
        <v>160</v>
      </c>
      <c r="G7" s="2" t="s">
        <v>161</v>
      </c>
      <c r="H7" s="3" t="s">
        <v>652</v>
      </c>
      <c r="I7" s="2" t="s">
        <v>653</v>
      </c>
      <c r="J7" s="2" t="s">
        <v>654</v>
      </c>
      <c r="K7" s="3" t="s">
        <v>655</v>
      </c>
    </row>
    <row r="8" customFormat="false" ht="48.5" hidden="false" customHeight="false" outlineLevel="0" collapsed="false">
      <c r="A8" s="2" t="s">
        <v>162</v>
      </c>
      <c r="B8" s="3" t="s">
        <v>163</v>
      </c>
      <c r="C8" s="3" t="s">
        <v>13</v>
      </c>
      <c r="D8" s="3" t="s">
        <v>164</v>
      </c>
      <c r="E8" s="2" t="s">
        <v>15</v>
      </c>
      <c r="F8" s="2" t="s">
        <v>15</v>
      </c>
      <c r="G8" s="2" t="s">
        <v>118</v>
      </c>
      <c r="H8" s="3" t="s">
        <v>656</v>
      </c>
      <c r="I8" s="2" t="s">
        <v>657</v>
      </c>
      <c r="J8" s="2" t="s">
        <v>658</v>
      </c>
      <c r="K8" s="3" t="s">
        <v>659</v>
      </c>
    </row>
    <row r="9" customFormat="false" ht="48.5" hidden="false" customHeight="false" outlineLevel="0" collapsed="false">
      <c r="A9" s="2" t="s">
        <v>165</v>
      </c>
      <c r="B9" s="3" t="s">
        <v>166</v>
      </c>
      <c r="C9" s="3" t="s">
        <v>75</v>
      </c>
      <c r="D9" s="3" t="s">
        <v>167</v>
      </c>
      <c r="E9" s="2" t="s">
        <v>15</v>
      </c>
      <c r="F9" s="2" t="s">
        <v>168</v>
      </c>
      <c r="G9" s="2" t="s">
        <v>113</v>
      </c>
      <c r="H9" s="3" t="s">
        <v>660</v>
      </c>
      <c r="I9" s="2" t="s">
        <v>661</v>
      </c>
      <c r="J9" s="3" t="s">
        <v>662</v>
      </c>
      <c r="K9" s="3" t="s">
        <v>663</v>
      </c>
    </row>
    <row r="10" customFormat="false" ht="48.5" hidden="false" customHeight="false" outlineLevel="0" collapsed="false">
      <c r="A10" s="2" t="s">
        <v>169</v>
      </c>
      <c r="B10" s="3" t="s">
        <v>170</v>
      </c>
      <c r="C10" s="3" t="s">
        <v>75</v>
      </c>
      <c r="D10" s="2" t="s">
        <v>171</v>
      </c>
      <c r="E10" s="3" t="e">
        <f aca="false">晋阳=</f>
        <v>#N/A</v>
      </c>
      <c r="F10" s="2" t="s">
        <v>168</v>
      </c>
      <c r="G10" s="2" t="s">
        <v>172</v>
      </c>
      <c r="H10" s="3" t="s">
        <v>664</v>
      </c>
      <c r="I10" s="2" t="s">
        <v>665</v>
      </c>
      <c r="J10" s="3" t="s">
        <v>666</v>
      </c>
      <c r="K10" s="3" t="s">
        <v>667</v>
      </c>
    </row>
    <row r="11" customFormat="false" ht="48.5" hidden="false" customHeight="false" outlineLevel="0" collapsed="false">
      <c r="A11" s="2" t="s">
        <v>173</v>
      </c>
      <c r="B11" s="3" t="s">
        <v>174</v>
      </c>
      <c r="C11" s="3" t="s">
        <v>23</v>
      </c>
      <c r="D11" s="2" t="s">
        <v>175</v>
      </c>
      <c r="E11" s="2" t="s">
        <v>15</v>
      </c>
      <c r="F11" s="2" t="s">
        <v>15</v>
      </c>
      <c r="G11" s="2" t="s">
        <v>176</v>
      </c>
      <c r="H11" s="3" t="s">
        <v>668</v>
      </c>
      <c r="I11" s="2" t="s">
        <v>669</v>
      </c>
      <c r="J11" s="3" t="s">
        <v>670</v>
      </c>
      <c r="K11" s="3" t="s">
        <v>671</v>
      </c>
    </row>
    <row r="12" customFormat="false" ht="48.5" hidden="false" customHeight="false" outlineLevel="0" collapsed="false">
      <c r="A12" s="2" t="s">
        <v>177</v>
      </c>
      <c r="B12" s="3" t="s">
        <v>178</v>
      </c>
      <c r="C12" s="3" t="s">
        <v>32</v>
      </c>
      <c r="D12" s="2" t="s">
        <v>179</v>
      </c>
      <c r="E12" s="2" t="s">
        <v>15</v>
      </c>
      <c r="F12" s="2" t="s">
        <v>180</v>
      </c>
      <c r="G12" s="2" t="s">
        <v>118</v>
      </c>
      <c r="H12" s="3" t="s">
        <v>672</v>
      </c>
      <c r="I12" s="2" t="s">
        <v>673</v>
      </c>
      <c r="J12" s="3" t="s">
        <v>674</v>
      </c>
      <c r="K12" s="3" t="s">
        <v>675</v>
      </c>
    </row>
    <row r="13" customFormat="false" ht="48.5" hidden="false" customHeight="false" outlineLevel="0" collapsed="false">
      <c r="A13" s="2" t="s">
        <v>181</v>
      </c>
      <c r="B13" s="3" t="s">
        <v>182</v>
      </c>
      <c r="C13" s="3" t="s">
        <v>23</v>
      </c>
      <c r="D13" s="2" t="s">
        <v>183</v>
      </c>
      <c r="E13" s="3" t="e">
        <f aca="false">徐州=</f>
        <v>#N/A</v>
      </c>
      <c r="F13" s="2" t="s">
        <v>15</v>
      </c>
      <c r="G13" s="2" t="s">
        <v>184</v>
      </c>
      <c r="H13" s="3" t="s">
        <v>676</v>
      </c>
      <c r="I13" s="2" t="s">
        <v>677</v>
      </c>
      <c r="J13" s="3" t="s">
        <v>678</v>
      </c>
      <c r="K13" s="3" t="s">
        <v>679</v>
      </c>
    </row>
    <row r="14" customFormat="false" ht="64.15" hidden="false" customHeight="false" outlineLevel="0" collapsed="false">
      <c r="A14" s="2" t="s">
        <v>185</v>
      </c>
      <c r="B14" s="3" t="s">
        <v>186</v>
      </c>
      <c r="C14" s="3" t="s">
        <v>75</v>
      </c>
      <c r="D14" s="2" t="s">
        <v>187</v>
      </c>
      <c r="E14" s="2" t="s">
        <v>15</v>
      </c>
      <c r="F14" s="2" t="s">
        <v>15</v>
      </c>
      <c r="G14" s="2" t="s">
        <v>188</v>
      </c>
      <c r="H14" s="3" t="s">
        <v>680</v>
      </c>
      <c r="I14" s="2" t="s">
        <v>681</v>
      </c>
      <c r="J14" s="3" t="s">
        <v>682</v>
      </c>
      <c r="K14" s="3" t="s">
        <v>683</v>
      </c>
    </row>
    <row r="15" customFormat="false" ht="48.5" hidden="false" customHeight="false" outlineLevel="0" collapsed="false">
      <c r="A15" s="2" t="s">
        <v>189</v>
      </c>
      <c r="B15" s="3" t="s">
        <v>190</v>
      </c>
      <c r="C15" s="3" t="s">
        <v>75</v>
      </c>
      <c r="D15" s="2" t="s">
        <v>191</v>
      </c>
      <c r="E15" s="2" t="s">
        <v>15</v>
      </c>
      <c r="F15" s="2" t="s">
        <v>15</v>
      </c>
      <c r="G15" s="2" t="s">
        <v>118</v>
      </c>
      <c r="H15" s="3" t="s">
        <v>684</v>
      </c>
      <c r="I15" s="2" t="s">
        <v>685</v>
      </c>
      <c r="J15" s="3" t="s">
        <v>686</v>
      </c>
      <c r="K15" s="3" t="s">
        <v>687</v>
      </c>
    </row>
    <row r="16" customFormat="false" ht="32.8" hidden="false" customHeight="false" outlineLevel="0" collapsed="false">
      <c r="A16" s="2" t="s">
        <v>192</v>
      </c>
      <c r="B16" s="3" t="s">
        <v>193</v>
      </c>
      <c r="C16" s="3" t="s">
        <v>32</v>
      </c>
      <c r="D16" s="2" t="s">
        <v>194</v>
      </c>
      <c r="E16" s="2" t="s">
        <v>15</v>
      </c>
      <c r="F16" s="2" t="s">
        <v>15</v>
      </c>
      <c r="G16" s="2" t="s">
        <v>118</v>
      </c>
      <c r="H16" s="3" t="s">
        <v>688</v>
      </c>
      <c r="I16" s="2" t="s">
        <v>689</v>
      </c>
      <c r="J16" s="3" t="s">
        <v>690</v>
      </c>
      <c r="K16" s="3" t="s">
        <v>691</v>
      </c>
    </row>
    <row r="17" customFormat="false" ht="48.5" hidden="false" customHeight="false" outlineLevel="0" collapsed="false">
      <c r="A17" s="2" t="s">
        <v>195</v>
      </c>
      <c r="B17" s="3" t="s">
        <v>196</v>
      </c>
      <c r="C17" s="3" t="s">
        <v>197</v>
      </c>
      <c r="D17" s="2" t="s">
        <v>198</v>
      </c>
      <c r="E17" s="2" t="s">
        <v>15</v>
      </c>
      <c r="F17" s="2" t="s">
        <v>199</v>
      </c>
      <c r="G17" s="2" t="s">
        <v>113</v>
      </c>
      <c r="H17" s="3" t="s">
        <v>692</v>
      </c>
      <c r="I17" s="2" t="s">
        <v>693</v>
      </c>
      <c r="J17" s="3" t="s">
        <v>694</v>
      </c>
      <c r="K17" s="3" t="s">
        <v>695</v>
      </c>
    </row>
    <row r="18" customFormat="false" ht="64.15" hidden="false" customHeight="false" outlineLevel="0" collapsed="false">
      <c r="A18" s="2" t="s">
        <v>200</v>
      </c>
      <c r="B18" s="3" t="s">
        <v>201</v>
      </c>
      <c r="C18" s="3" t="s">
        <v>75</v>
      </c>
      <c r="D18" s="2" t="s">
        <v>202</v>
      </c>
      <c r="E18" s="3" t="e">
        <f aca="false">伊阙=</f>
        <v>#N/A</v>
      </c>
      <c r="F18" s="2" t="s">
        <v>203</v>
      </c>
      <c r="G18" s="2" t="s">
        <v>118</v>
      </c>
      <c r="H18" s="3" t="s">
        <v>696</v>
      </c>
      <c r="I18" s="2" t="s">
        <v>697</v>
      </c>
      <c r="J18" s="3" t="s">
        <v>698</v>
      </c>
      <c r="K18" s="3" t="s">
        <v>699</v>
      </c>
    </row>
    <row r="19" customFormat="false" ht="64.15" hidden="false" customHeight="false" outlineLevel="0" collapsed="false">
      <c r="A19" s="2" t="s">
        <v>204</v>
      </c>
      <c r="B19" s="3" t="s">
        <v>205</v>
      </c>
      <c r="C19" s="3" t="s">
        <v>75</v>
      </c>
      <c r="D19" s="2" t="s">
        <v>206</v>
      </c>
      <c r="E19" s="3" t="e">
        <f aca="false">临菑=</f>
        <v>#N/A</v>
      </c>
      <c r="F19" s="2" t="s">
        <v>15</v>
      </c>
      <c r="G19" s="2" t="s">
        <v>207</v>
      </c>
      <c r="H19" s="3" t="s">
        <v>700</v>
      </c>
      <c r="I19" s="2" t="s">
        <v>701</v>
      </c>
      <c r="J19" s="3" t="s">
        <v>702</v>
      </c>
      <c r="K19" s="3" t="s">
        <v>703</v>
      </c>
    </row>
    <row r="20" customFormat="false" ht="48.5" hidden="false" customHeight="false" outlineLevel="0" collapsed="false">
      <c r="A20" s="2" t="s">
        <v>208</v>
      </c>
      <c r="B20" s="3" t="s">
        <v>209</v>
      </c>
      <c r="C20" s="3" t="s">
        <v>75</v>
      </c>
      <c r="D20" s="2" t="s">
        <v>210</v>
      </c>
      <c r="E20" s="3" t="e">
        <f aca="false">郢=</f>
        <v>#N/A</v>
      </c>
      <c r="F20" s="2" t="s">
        <v>203</v>
      </c>
      <c r="G20" s="2" t="s">
        <v>211</v>
      </c>
      <c r="H20" s="3" t="s">
        <v>704</v>
      </c>
      <c r="I20" s="2" t="s">
        <v>705</v>
      </c>
      <c r="J20" s="3" t="s">
        <v>706</v>
      </c>
      <c r="K20" s="3" t="s">
        <v>707</v>
      </c>
    </row>
    <row r="21" customFormat="false" ht="48.5" hidden="false" customHeight="false" outlineLevel="0" collapsed="false">
      <c r="A21" s="2" t="s">
        <v>212</v>
      </c>
      <c r="B21" s="3" t="s">
        <v>213</v>
      </c>
      <c r="C21" s="3" t="s">
        <v>75</v>
      </c>
      <c r="D21" s="2" t="s">
        <v>214</v>
      </c>
      <c r="E21" s="3" t="e">
        <f aca="false">长平=</f>
        <v>#N/A</v>
      </c>
      <c r="F21" s="2" t="s">
        <v>215</v>
      </c>
      <c r="G21" s="2" t="s">
        <v>216</v>
      </c>
      <c r="H21" s="3" t="s">
        <v>708</v>
      </c>
      <c r="I21" s="2" t="s">
        <v>709</v>
      </c>
      <c r="J21" s="3" t="s">
        <v>710</v>
      </c>
      <c r="K21" s="3" t="s">
        <v>711</v>
      </c>
    </row>
    <row r="22" customFormat="false" ht="48.5" hidden="false" customHeight="false" outlineLevel="0" collapsed="false">
      <c r="A22" s="2" t="s">
        <v>217</v>
      </c>
      <c r="B22" s="3" t="s">
        <v>218</v>
      </c>
      <c r="C22" s="3" t="s">
        <v>75</v>
      </c>
      <c r="D22" s="2" t="s">
        <v>219</v>
      </c>
      <c r="E22" s="3" t="e">
        <f aca="false">邯郸=</f>
        <v>#N/A</v>
      </c>
      <c r="F22" s="2" t="s">
        <v>220</v>
      </c>
      <c r="G22" s="2" t="s">
        <v>221</v>
      </c>
      <c r="H22" s="3" t="s">
        <v>712</v>
      </c>
      <c r="I22" s="2" t="s">
        <v>713</v>
      </c>
      <c r="J22" s="3" t="s">
        <v>714</v>
      </c>
      <c r="K22" s="3" t="s">
        <v>715</v>
      </c>
    </row>
    <row r="23" customFormat="false" ht="48.5" hidden="false" customHeight="false" outlineLevel="0" collapsed="false">
      <c r="A23" s="2" t="s">
        <v>222</v>
      </c>
      <c r="B23" s="3" t="s">
        <v>223</v>
      </c>
      <c r="C23" s="3" t="s">
        <v>75</v>
      </c>
      <c r="D23" s="2" t="s">
        <v>224</v>
      </c>
      <c r="E23" s="3" t="e">
        <f aca="false">颍川=</f>
        <v>#N/A</v>
      </c>
      <c r="F23" s="2" t="s">
        <v>15</v>
      </c>
      <c r="G23" s="2" t="s">
        <v>225</v>
      </c>
      <c r="H23" s="3" t="s">
        <v>716</v>
      </c>
      <c r="I23" s="2" t="s">
        <v>717</v>
      </c>
      <c r="J23" s="3" t="s">
        <v>718</v>
      </c>
      <c r="K23" s="3" t="s">
        <v>719</v>
      </c>
    </row>
    <row r="24" customFormat="false" ht="48.5" hidden="false" customHeight="false" outlineLevel="0" collapsed="false">
      <c r="A24" s="2" t="s">
        <v>226</v>
      </c>
      <c r="B24" s="3" t="s">
        <v>227</v>
      </c>
      <c r="C24" s="3" t="s">
        <v>75</v>
      </c>
      <c r="D24" s="2" t="s">
        <v>228</v>
      </c>
      <c r="E24" s="3" t="e">
        <f aca="false">邯郸=</f>
        <v>#N/A</v>
      </c>
      <c r="F24" s="2" t="s">
        <v>229</v>
      </c>
      <c r="G24" s="2" t="s">
        <v>216</v>
      </c>
      <c r="H24" s="3" t="s">
        <v>720</v>
      </c>
      <c r="I24" s="2" t="s">
        <v>721</v>
      </c>
      <c r="J24" s="3" t="s">
        <v>722</v>
      </c>
      <c r="K24" s="3" t="s">
        <v>723</v>
      </c>
    </row>
    <row r="25" customFormat="false" ht="48.5" hidden="false" customHeight="false" outlineLevel="0" collapsed="false">
      <c r="A25" s="2" t="s">
        <v>230</v>
      </c>
      <c r="B25" s="3" t="s">
        <v>231</v>
      </c>
      <c r="C25" s="3" t="s">
        <v>23</v>
      </c>
      <c r="D25" s="2" t="s">
        <v>232</v>
      </c>
      <c r="E25" s="2" t="s">
        <v>15</v>
      </c>
      <c r="F25" s="2" t="s">
        <v>233</v>
      </c>
      <c r="G25" s="2" t="s">
        <v>234</v>
      </c>
      <c r="H25" s="3" t="s">
        <v>724</v>
      </c>
      <c r="I25" s="2" t="s">
        <v>725</v>
      </c>
      <c r="J25" s="3" t="s">
        <v>726</v>
      </c>
      <c r="K25" s="3" t="s">
        <v>727</v>
      </c>
    </row>
    <row r="26" customFormat="false" ht="48.5" hidden="false" customHeight="false" outlineLevel="0" collapsed="false">
      <c r="A26" s="2" t="s">
        <v>235</v>
      </c>
      <c r="B26" s="3" t="s">
        <v>236</v>
      </c>
      <c r="C26" s="3" t="s">
        <v>75</v>
      </c>
      <c r="D26" s="2" t="s">
        <v>237</v>
      </c>
      <c r="E26" s="2" t="s">
        <v>15</v>
      </c>
      <c r="F26" s="2" t="s">
        <v>238</v>
      </c>
      <c r="G26" s="2" t="s">
        <v>239</v>
      </c>
      <c r="H26" s="3" t="s">
        <v>728</v>
      </c>
      <c r="I26" s="2" t="s">
        <v>729</v>
      </c>
      <c r="J26" s="3" t="s">
        <v>730</v>
      </c>
      <c r="K26" s="3" t="s">
        <v>731</v>
      </c>
    </row>
    <row r="27" customFormat="false" ht="48.5" hidden="false" customHeight="false" outlineLevel="0" collapsed="false">
      <c r="A27" s="2" t="s">
        <v>240</v>
      </c>
      <c r="B27" s="3" t="s">
        <v>241</v>
      </c>
      <c r="C27" s="3" t="s">
        <v>75</v>
      </c>
      <c r="D27" s="2" t="s">
        <v>242</v>
      </c>
      <c r="E27" s="2" t="s">
        <v>15</v>
      </c>
      <c r="F27" s="2" t="s">
        <v>243</v>
      </c>
      <c r="G27" s="2" t="s">
        <v>211</v>
      </c>
      <c r="H27" s="3" t="s">
        <v>732</v>
      </c>
      <c r="I27" s="2" t="s">
        <v>733</v>
      </c>
      <c r="J27" s="3" t="s">
        <v>734</v>
      </c>
      <c r="K27" s="3" t="s">
        <v>735</v>
      </c>
    </row>
    <row r="28" customFormat="false" ht="48.5" hidden="false" customHeight="false" outlineLevel="0" collapsed="false">
      <c r="A28" s="2" t="s">
        <v>244</v>
      </c>
      <c r="B28" s="3" t="s">
        <v>245</v>
      </c>
      <c r="C28" s="3" t="s">
        <v>75</v>
      </c>
      <c r="D28" s="2" t="s">
        <v>246</v>
      </c>
      <c r="E28" s="2" t="s">
        <v>15</v>
      </c>
      <c r="F28" s="2" t="s">
        <v>238</v>
      </c>
      <c r="G28" s="2" t="s">
        <v>247</v>
      </c>
      <c r="H28" s="3" t="s">
        <v>736</v>
      </c>
      <c r="I28" s="2" t="s">
        <v>737</v>
      </c>
      <c r="J28" s="3" t="s">
        <v>738</v>
      </c>
      <c r="K28" s="3" t="s">
        <v>739</v>
      </c>
    </row>
    <row r="29" customFormat="false" ht="48.5" hidden="false" customHeight="false" outlineLevel="0" collapsed="false">
      <c r="A29" s="2" t="s">
        <v>248</v>
      </c>
      <c r="B29" s="3" t="s">
        <v>249</v>
      </c>
      <c r="C29" s="3" t="s">
        <v>75</v>
      </c>
      <c r="D29" s="2" t="s">
        <v>250</v>
      </c>
      <c r="E29" s="2" t="s">
        <v>15</v>
      </c>
      <c r="F29" s="2" t="s">
        <v>238</v>
      </c>
      <c r="G29" s="2" t="s">
        <v>251</v>
      </c>
      <c r="H29" s="3" t="s">
        <v>740</v>
      </c>
      <c r="I29" s="2" t="s">
        <v>741</v>
      </c>
      <c r="J29" s="3" t="s">
        <v>742</v>
      </c>
      <c r="K29" s="3" t="s">
        <v>743</v>
      </c>
    </row>
    <row r="30" customFormat="false" ht="95.5" hidden="false" customHeight="false" outlineLevel="0" collapsed="false">
      <c r="A30" s="2" t="s">
        <v>252</v>
      </c>
      <c r="B30" s="3" t="s">
        <v>253</v>
      </c>
      <c r="C30" s="3" t="s">
        <v>32</v>
      </c>
      <c r="D30" s="2" t="s">
        <v>254</v>
      </c>
      <c r="E30" s="2" t="s">
        <v>15</v>
      </c>
      <c r="F30" s="2" t="s">
        <v>15</v>
      </c>
      <c r="G30" s="2" t="s">
        <v>118</v>
      </c>
      <c r="H30" s="3" t="s">
        <v>744</v>
      </c>
      <c r="I30" s="2" t="s">
        <v>745</v>
      </c>
      <c r="J30" s="3" t="s">
        <v>746</v>
      </c>
      <c r="K30" s="3" t="s">
        <v>747</v>
      </c>
    </row>
    <row r="31" customFormat="false" ht="48.5" hidden="false" customHeight="false" outlineLevel="0" collapsed="false">
      <c r="A31" s="2" t="s">
        <v>255</v>
      </c>
      <c r="B31" s="3" t="s">
        <v>256</v>
      </c>
      <c r="C31" s="3" t="s">
        <v>257</v>
      </c>
      <c r="D31" s="2" t="s">
        <v>258</v>
      </c>
      <c r="E31" s="2" t="s">
        <v>15</v>
      </c>
      <c r="F31" s="2" t="s">
        <v>259</v>
      </c>
      <c r="G31" s="2" t="s">
        <v>118</v>
      </c>
      <c r="H31" s="3" t="s">
        <v>748</v>
      </c>
      <c r="I31" s="2" t="s">
        <v>749</v>
      </c>
      <c r="J31" s="3" t="s">
        <v>750</v>
      </c>
      <c r="K31" s="3" t="s">
        <v>751</v>
      </c>
    </row>
    <row r="32" customFormat="false" ht="48.5" hidden="false" customHeight="false" outlineLevel="0" collapsed="false">
      <c r="A32" s="2" t="s">
        <v>260</v>
      </c>
      <c r="B32" s="3" t="s">
        <v>261</v>
      </c>
      <c r="C32" s="3" t="s">
        <v>124</v>
      </c>
      <c r="D32" s="2" t="s">
        <v>262</v>
      </c>
      <c r="E32" s="3" t="e">
        <f aca="false">沙丘=</f>
        <v>#N/A</v>
      </c>
      <c r="F32" s="2" t="s">
        <v>263</v>
      </c>
      <c r="G32" s="2" t="s">
        <v>118</v>
      </c>
      <c r="H32" s="3" t="s">
        <v>752</v>
      </c>
      <c r="I32" s="2" t="s">
        <v>753</v>
      </c>
      <c r="J32" s="3" t="s">
        <v>754</v>
      </c>
      <c r="K32" s="3" t="s">
        <v>755</v>
      </c>
    </row>
    <row r="33" customFormat="false" ht="32.8" hidden="false" customHeight="false" outlineLevel="0" collapsed="false">
      <c r="A33" s="2" t="s">
        <v>264</v>
      </c>
      <c r="B33" s="3" t="s">
        <v>265</v>
      </c>
      <c r="C33" s="3" t="s">
        <v>75</v>
      </c>
      <c r="D33" s="2" t="s">
        <v>266</v>
      </c>
      <c r="E33" s="2" t="s">
        <v>15</v>
      </c>
      <c r="F33" s="2" t="s">
        <v>15</v>
      </c>
      <c r="G33" s="2" t="s">
        <v>118</v>
      </c>
      <c r="H33" s="3" t="s">
        <v>756</v>
      </c>
      <c r="I33" s="2" t="s">
        <v>757</v>
      </c>
      <c r="J33" s="3" t="s">
        <v>758</v>
      </c>
      <c r="K33" s="3" t="s">
        <v>759</v>
      </c>
    </row>
    <row r="34" customFormat="false" ht="64.15" hidden="false" customHeight="false" outlineLevel="0" collapsed="false">
      <c r="A34" s="2" t="s">
        <v>267</v>
      </c>
      <c r="B34" s="3" t="s">
        <v>268</v>
      </c>
      <c r="C34" s="3" t="s">
        <v>41</v>
      </c>
      <c r="D34" s="2" t="s">
        <v>269</v>
      </c>
      <c r="E34" s="2" t="s">
        <v>15</v>
      </c>
      <c r="F34" s="2" t="s">
        <v>270</v>
      </c>
      <c r="G34" s="2" t="s">
        <v>118</v>
      </c>
      <c r="H34" s="3" t="s">
        <v>760</v>
      </c>
      <c r="I34" s="2" t="s">
        <v>761</v>
      </c>
      <c r="J34" s="3" t="s">
        <v>762</v>
      </c>
      <c r="K34" s="3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64.15" hidden="false" customHeight="false" outlineLevel="0" collapsed="false">
      <c r="A2" s="2" t="s">
        <v>273</v>
      </c>
      <c r="B2" s="3" t="s">
        <v>274</v>
      </c>
      <c r="C2" s="3" t="s">
        <v>75</v>
      </c>
      <c r="D2" s="2" t="s">
        <v>275</v>
      </c>
      <c r="E2" s="2" t="s">
        <v>15</v>
      </c>
      <c r="F2" s="2" t="s">
        <v>276</v>
      </c>
      <c r="G2" s="2" t="s">
        <v>118</v>
      </c>
      <c r="H2" s="3" t="s">
        <v>764</v>
      </c>
      <c r="I2" s="2" t="s">
        <v>765</v>
      </c>
      <c r="J2" s="2" t="s">
        <v>766</v>
      </c>
      <c r="K2" s="3" t="s">
        <v>767</v>
      </c>
    </row>
    <row r="3" customFormat="false" ht="32.8" hidden="false" customHeight="false" outlineLevel="0" collapsed="false">
      <c r="A3" s="2" t="s">
        <v>277</v>
      </c>
      <c r="B3" s="3" t="s">
        <v>278</v>
      </c>
      <c r="C3" s="3" t="s">
        <v>23</v>
      </c>
      <c r="D3" s="2" t="s">
        <v>279</v>
      </c>
      <c r="E3" s="2" t="s">
        <v>15</v>
      </c>
      <c r="F3" s="2" t="s">
        <v>280</v>
      </c>
      <c r="G3" s="2" t="s">
        <v>108</v>
      </c>
      <c r="H3" s="3" t="s">
        <v>768</v>
      </c>
      <c r="I3" s="2" t="s">
        <v>769</v>
      </c>
      <c r="J3" s="3" t="s">
        <v>770</v>
      </c>
      <c r="K3" s="3" t="s">
        <v>771</v>
      </c>
    </row>
    <row r="4" customFormat="false" ht="32.8" hidden="false" customHeight="false" outlineLevel="0" collapsed="false">
      <c r="A4" s="2" t="s">
        <v>281</v>
      </c>
      <c r="B4" s="3" t="s">
        <v>282</v>
      </c>
      <c r="C4" s="3" t="s">
        <v>75</v>
      </c>
      <c r="D4" s="2" t="s">
        <v>279</v>
      </c>
      <c r="E4" s="2" t="s">
        <v>15</v>
      </c>
      <c r="F4" s="2" t="s">
        <v>283</v>
      </c>
      <c r="G4" s="2" t="s">
        <v>83</v>
      </c>
      <c r="H4" s="3" t="s">
        <v>772</v>
      </c>
      <c r="I4" s="2" t="s">
        <v>773</v>
      </c>
      <c r="J4" s="3" t="s">
        <v>770</v>
      </c>
      <c r="K4" s="3" t="s">
        <v>771</v>
      </c>
    </row>
    <row r="5" customFormat="false" ht="32.8" hidden="false" customHeight="false" outlineLevel="0" collapsed="false">
      <c r="A5" s="2" t="s">
        <v>284</v>
      </c>
      <c r="B5" s="3" t="s">
        <v>285</v>
      </c>
      <c r="C5" s="3" t="s">
        <v>124</v>
      </c>
      <c r="D5" s="2" t="s">
        <v>286</v>
      </c>
      <c r="E5" s="3" t="e">
        <f aca="false">邯郸=</f>
        <v>#N/A</v>
      </c>
      <c r="F5" s="2" t="s">
        <v>287</v>
      </c>
      <c r="G5" s="2" t="s">
        <v>113</v>
      </c>
      <c r="H5" s="3" t="s">
        <v>774</v>
      </c>
      <c r="I5" s="2" t="s">
        <v>775</v>
      </c>
      <c r="J5" s="3" t="s">
        <v>776</v>
      </c>
      <c r="K5" s="3" t="s">
        <v>777</v>
      </c>
    </row>
    <row r="6" customFormat="false" ht="79.85" hidden="false" customHeight="false" outlineLevel="0" collapsed="false">
      <c r="A6" s="2" t="s">
        <v>288</v>
      </c>
      <c r="B6" s="3" t="s">
        <v>289</v>
      </c>
      <c r="C6" s="3" t="s">
        <v>75</v>
      </c>
      <c r="D6" s="2" t="s">
        <v>290</v>
      </c>
      <c r="E6" s="2" t="s">
        <v>15</v>
      </c>
      <c r="F6" s="2" t="s">
        <v>276</v>
      </c>
      <c r="G6" s="2" t="s">
        <v>108</v>
      </c>
      <c r="H6" s="3" t="s">
        <v>778</v>
      </c>
      <c r="I6" s="2" t="s">
        <v>779</v>
      </c>
      <c r="J6" s="3" t="s">
        <v>780</v>
      </c>
      <c r="K6" s="3" t="s">
        <v>781</v>
      </c>
    </row>
    <row r="7" customFormat="false" ht="48.5" hidden="false" customHeight="false" outlineLevel="0" collapsed="false">
      <c r="A7" s="2" t="s">
        <v>291</v>
      </c>
      <c r="B7" s="3" t="s">
        <v>292</v>
      </c>
      <c r="C7" s="3" t="s">
        <v>23</v>
      </c>
      <c r="D7" s="2" t="s">
        <v>293</v>
      </c>
      <c r="E7" s="2" t="s">
        <v>15</v>
      </c>
      <c r="F7" s="2" t="s">
        <v>280</v>
      </c>
      <c r="G7" s="2" t="s">
        <v>108</v>
      </c>
      <c r="H7" s="3" t="s">
        <v>782</v>
      </c>
      <c r="I7" s="2" t="s">
        <v>783</v>
      </c>
      <c r="J7" s="3" t="s">
        <v>784</v>
      </c>
      <c r="K7" s="3" t="s">
        <v>785</v>
      </c>
    </row>
    <row r="8" customFormat="false" ht="48.5" hidden="false" customHeight="false" outlineLevel="0" collapsed="false">
      <c r="A8" s="2" t="s">
        <v>294</v>
      </c>
      <c r="B8" s="3" t="s">
        <v>295</v>
      </c>
      <c r="C8" s="3" t="s">
        <v>75</v>
      </c>
      <c r="D8" s="2" t="s">
        <v>296</v>
      </c>
      <c r="E8" s="3" t="e">
        <f aca="false">定陶=</f>
        <v>#N/A</v>
      </c>
      <c r="F8" s="2" t="s">
        <v>280</v>
      </c>
      <c r="G8" s="2" t="s">
        <v>108</v>
      </c>
      <c r="H8" s="3" t="s">
        <v>786</v>
      </c>
      <c r="I8" s="2" t="s">
        <v>787</v>
      </c>
      <c r="J8" s="3" t="s">
        <v>788</v>
      </c>
      <c r="K8" s="3" t="s">
        <v>789</v>
      </c>
    </row>
    <row r="9" customFormat="false" ht="32.8" hidden="false" customHeight="false" outlineLevel="0" collapsed="false">
      <c r="A9" s="2" t="s">
        <v>297</v>
      </c>
      <c r="B9" s="3" t="s">
        <v>298</v>
      </c>
      <c r="C9" s="3" t="s">
        <v>41</v>
      </c>
      <c r="D9" s="2" t="s">
        <v>299</v>
      </c>
      <c r="E9" s="2" t="s">
        <v>15</v>
      </c>
      <c r="F9" s="2" t="s">
        <v>300</v>
      </c>
      <c r="G9" s="2" t="s">
        <v>108</v>
      </c>
      <c r="H9" s="3" t="s">
        <v>790</v>
      </c>
      <c r="I9" s="2" t="s">
        <v>791</v>
      </c>
      <c r="J9" s="3" t="s">
        <v>792</v>
      </c>
      <c r="K9" s="3" t="s">
        <v>793</v>
      </c>
    </row>
    <row r="10" customFormat="false" ht="32.8" hidden="false" customHeight="false" outlineLevel="0" collapsed="false">
      <c r="A10" s="2" t="s">
        <v>301</v>
      </c>
      <c r="B10" s="3" t="s">
        <v>302</v>
      </c>
      <c r="C10" s="3" t="s">
        <v>75</v>
      </c>
      <c r="D10" s="2" t="s">
        <v>303</v>
      </c>
      <c r="E10" s="3" t="e">
        <f aca="false">巨鹿=</f>
        <v>#N/A</v>
      </c>
      <c r="F10" s="2" t="s">
        <v>300</v>
      </c>
      <c r="G10" s="2" t="s">
        <v>108</v>
      </c>
      <c r="H10" s="3" t="s">
        <v>794</v>
      </c>
      <c r="I10" s="2" t="s">
        <v>795</v>
      </c>
      <c r="J10" s="3" t="s">
        <v>796</v>
      </c>
      <c r="K10" s="3" t="s">
        <v>797</v>
      </c>
    </row>
    <row r="11" customFormat="false" ht="48.5" hidden="false" customHeight="false" outlineLevel="0" collapsed="false">
      <c r="A11" s="2" t="s">
        <v>304</v>
      </c>
      <c r="B11" s="3" t="s">
        <v>305</v>
      </c>
      <c r="C11" s="3" t="s">
        <v>75</v>
      </c>
      <c r="D11" s="2" t="s">
        <v>306</v>
      </c>
      <c r="E11" s="3" t="e">
        <f aca="false">咸阳=</f>
        <v>#N/A</v>
      </c>
      <c r="F11" s="2" t="s">
        <v>283</v>
      </c>
      <c r="G11" s="2" t="s">
        <v>83</v>
      </c>
      <c r="H11" s="3" t="s">
        <v>798</v>
      </c>
      <c r="I11" s="2" t="s">
        <v>799</v>
      </c>
      <c r="J11" s="3" t="s">
        <v>800</v>
      </c>
      <c r="K11" s="3" t="s">
        <v>801</v>
      </c>
    </row>
    <row r="12" customFormat="false" ht="32.8" hidden="false" customHeight="false" outlineLevel="0" collapsed="false">
      <c r="A12" s="2" t="s">
        <v>307</v>
      </c>
      <c r="B12" s="3" t="s">
        <v>308</v>
      </c>
      <c r="C12" s="3" t="s">
        <v>75</v>
      </c>
      <c r="D12" s="2" t="s">
        <v>309</v>
      </c>
      <c r="E12" s="3" t="e">
        <f aca="false">新安=</f>
        <v>#N/A</v>
      </c>
      <c r="F12" s="2" t="s">
        <v>300</v>
      </c>
      <c r="G12" s="2" t="s">
        <v>15</v>
      </c>
      <c r="H12" s="3" t="s">
        <v>802</v>
      </c>
      <c r="I12" s="2" t="s">
        <v>803</v>
      </c>
      <c r="J12" s="3" t="s">
        <v>804</v>
      </c>
      <c r="K12" s="3" t="s">
        <v>805</v>
      </c>
    </row>
    <row r="13" customFormat="false" ht="48.5" hidden="false" customHeight="false" outlineLevel="0" collapsed="false">
      <c r="A13" s="2" t="s">
        <v>310</v>
      </c>
      <c r="B13" s="3" t="s">
        <v>311</v>
      </c>
      <c r="C13" s="3" t="s">
        <v>23</v>
      </c>
      <c r="D13" s="2" t="s">
        <v>312</v>
      </c>
      <c r="E13" s="3" t="e">
        <f aca="false">关中=</f>
        <v>#N/A</v>
      </c>
      <c r="F13" s="2" t="s">
        <v>300</v>
      </c>
      <c r="G13" s="2" t="s">
        <v>15</v>
      </c>
      <c r="H13" s="3" t="s">
        <v>806</v>
      </c>
      <c r="I13" s="2" t="s">
        <v>807</v>
      </c>
      <c r="J13" s="3" t="s">
        <v>808</v>
      </c>
      <c r="K13" s="3" t="s">
        <v>809</v>
      </c>
    </row>
    <row r="14" customFormat="false" ht="32.8" hidden="false" customHeight="false" outlineLevel="0" collapsed="false">
      <c r="A14" s="2" t="s">
        <v>313</v>
      </c>
      <c r="B14" s="3" t="s">
        <v>314</v>
      </c>
      <c r="C14" s="3" t="s">
        <v>41</v>
      </c>
      <c r="D14" s="2" t="s">
        <v>315</v>
      </c>
      <c r="E14" s="2" t="s">
        <v>15</v>
      </c>
      <c r="F14" s="2" t="s">
        <v>300</v>
      </c>
      <c r="G14" s="2" t="s">
        <v>15</v>
      </c>
      <c r="H14" s="3" t="s">
        <v>810</v>
      </c>
      <c r="I14" s="2" t="s">
        <v>811</v>
      </c>
      <c r="J14" s="3" t="s">
        <v>812</v>
      </c>
      <c r="K14" s="3" t="s">
        <v>813</v>
      </c>
    </row>
    <row r="15" customFormat="false" ht="32.8" hidden="false" customHeight="false" outlineLevel="0" collapsed="false">
      <c r="A15" s="2" t="s">
        <v>316</v>
      </c>
      <c r="B15" s="3" t="s">
        <v>317</v>
      </c>
      <c r="C15" s="3" t="s">
        <v>75</v>
      </c>
      <c r="D15" s="2" t="s">
        <v>318</v>
      </c>
      <c r="E15" s="3" t="e">
        <f aca="false">彭城=</f>
        <v>#N/A</v>
      </c>
      <c r="F15" s="2" t="s">
        <v>319</v>
      </c>
      <c r="G15" s="2" t="s">
        <v>83</v>
      </c>
      <c r="H15" s="3" t="s">
        <v>814</v>
      </c>
      <c r="I15" s="2" t="s">
        <v>815</v>
      </c>
      <c r="J15" s="3" t="s">
        <v>816</v>
      </c>
      <c r="K15" s="3" t="s">
        <v>817</v>
      </c>
    </row>
    <row r="16" customFormat="false" ht="32.8" hidden="false" customHeight="false" outlineLevel="0" collapsed="false">
      <c r="A16" s="2" t="s">
        <v>320</v>
      </c>
      <c r="B16" s="3" t="s">
        <v>321</v>
      </c>
      <c r="C16" s="3" t="s">
        <v>75</v>
      </c>
      <c r="D16" s="2" t="s">
        <v>318</v>
      </c>
      <c r="E16" s="3" t="e">
        <f aca="false">彭城=</f>
        <v>#N/A</v>
      </c>
      <c r="F16" s="2" t="s">
        <v>300</v>
      </c>
      <c r="G16" s="2" t="s">
        <v>108</v>
      </c>
      <c r="H16" s="3" t="s">
        <v>818</v>
      </c>
      <c r="I16" s="2" t="s">
        <v>819</v>
      </c>
      <c r="J16" s="3" t="s">
        <v>812</v>
      </c>
      <c r="K16" s="3" t="s">
        <v>817</v>
      </c>
    </row>
    <row r="17" customFormat="false" ht="32.8" hidden="false" customHeight="false" outlineLevel="0" collapsed="false">
      <c r="A17" s="2" t="s">
        <v>322</v>
      </c>
      <c r="B17" s="3" t="s">
        <v>323</v>
      </c>
      <c r="C17" s="3" t="s">
        <v>75</v>
      </c>
      <c r="D17" s="2" t="s">
        <v>324</v>
      </c>
      <c r="E17" s="2" t="s">
        <v>15</v>
      </c>
      <c r="F17" s="2" t="s">
        <v>325</v>
      </c>
      <c r="G17" s="2" t="s">
        <v>83</v>
      </c>
      <c r="H17" s="3" t="s">
        <v>820</v>
      </c>
      <c r="I17" s="2" t="s">
        <v>821</v>
      </c>
      <c r="J17" s="3" t="s">
        <v>822</v>
      </c>
      <c r="K17" s="3" t="s">
        <v>823</v>
      </c>
    </row>
    <row r="18" customFormat="false" ht="32.8" hidden="false" customHeight="false" outlineLevel="0" collapsed="false">
      <c r="A18" s="2" t="s">
        <v>326</v>
      </c>
      <c r="B18" s="3" t="s">
        <v>327</v>
      </c>
      <c r="C18" s="3" t="s">
        <v>75</v>
      </c>
      <c r="D18" s="2" t="s">
        <v>328</v>
      </c>
      <c r="E18" s="2" t="s">
        <v>15</v>
      </c>
      <c r="F18" s="2" t="s">
        <v>325</v>
      </c>
      <c r="G18" s="2" t="s">
        <v>83</v>
      </c>
      <c r="H18" s="3" t="s">
        <v>824</v>
      </c>
      <c r="I18" s="2" t="s">
        <v>825</v>
      </c>
      <c r="J18" s="3" t="s">
        <v>826</v>
      </c>
      <c r="K18" s="3" t="s">
        <v>827</v>
      </c>
    </row>
    <row r="19" customFormat="false" ht="32.8" hidden="false" customHeight="false" outlineLevel="0" collapsed="false">
      <c r="A19" s="2" t="s">
        <v>329</v>
      </c>
      <c r="B19" s="3" t="s">
        <v>330</v>
      </c>
      <c r="C19" s="3" t="s">
        <v>75</v>
      </c>
      <c r="D19" s="2" t="s">
        <v>331</v>
      </c>
      <c r="E19" s="2" t="s">
        <v>15</v>
      </c>
      <c r="F19" s="2" t="s">
        <v>300</v>
      </c>
      <c r="G19" s="2" t="s">
        <v>83</v>
      </c>
      <c r="H19" s="3" t="s">
        <v>828</v>
      </c>
      <c r="I19" s="2" t="s">
        <v>829</v>
      </c>
      <c r="J19" s="3" t="s">
        <v>830</v>
      </c>
      <c r="K19" s="3" t="s">
        <v>831</v>
      </c>
    </row>
    <row r="20" customFormat="false" ht="32.8" hidden="false" customHeight="false" outlineLevel="0" collapsed="false">
      <c r="A20" s="2" t="s">
        <v>332</v>
      </c>
      <c r="B20" s="3" t="s">
        <v>333</v>
      </c>
      <c r="C20" s="3" t="s">
        <v>124</v>
      </c>
      <c r="D20" s="2" t="s">
        <v>334</v>
      </c>
      <c r="E20" s="3" t="e">
        <f aca="false">定陶=</f>
        <v>#N/A</v>
      </c>
      <c r="F20" s="2" t="s">
        <v>319</v>
      </c>
      <c r="G20" s="2" t="s">
        <v>83</v>
      </c>
      <c r="H20" s="3" t="s">
        <v>832</v>
      </c>
      <c r="I20" s="2" t="s">
        <v>833</v>
      </c>
      <c r="J20" s="3" t="s">
        <v>834</v>
      </c>
      <c r="K20" s="3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64.15" hidden="false" customHeight="false" outlineLevel="0" collapsed="false">
      <c r="A2" s="2" t="s">
        <v>337</v>
      </c>
      <c r="B2" s="3" t="s">
        <v>338</v>
      </c>
      <c r="C2" s="3" t="s">
        <v>23</v>
      </c>
      <c r="D2" s="3" t="s">
        <v>70</v>
      </c>
      <c r="E2" s="2" t="s">
        <v>15</v>
      </c>
      <c r="F2" s="2" t="s">
        <v>339</v>
      </c>
      <c r="G2" s="2" t="s">
        <v>17</v>
      </c>
      <c r="H2" s="3" t="s">
        <v>836</v>
      </c>
      <c r="I2" s="2" t="s">
        <v>837</v>
      </c>
      <c r="J2" s="2" t="s">
        <v>838</v>
      </c>
      <c r="K2" s="3" t="s">
        <v>839</v>
      </c>
    </row>
    <row r="3" customFormat="false" ht="64.15" hidden="false" customHeight="false" outlineLevel="0" collapsed="false">
      <c r="A3" s="2" t="s">
        <v>340</v>
      </c>
      <c r="B3" s="3" t="s">
        <v>341</v>
      </c>
      <c r="C3" s="3" t="s">
        <v>23</v>
      </c>
      <c r="D3" s="2" t="s">
        <v>342</v>
      </c>
      <c r="E3" s="2" t="s">
        <v>15</v>
      </c>
      <c r="F3" s="2" t="s">
        <v>343</v>
      </c>
      <c r="G3" s="2" t="s">
        <v>83</v>
      </c>
      <c r="H3" s="3" t="s">
        <v>840</v>
      </c>
      <c r="I3" s="2" t="s">
        <v>841</v>
      </c>
      <c r="J3" s="2" t="s">
        <v>650</v>
      </c>
      <c r="K3" s="3" t="s">
        <v>842</v>
      </c>
    </row>
    <row r="4" customFormat="false" ht="48.5" hidden="false" customHeight="false" outlineLevel="0" collapsed="false">
      <c r="A4" s="2" t="s">
        <v>344</v>
      </c>
      <c r="B4" s="3" t="s">
        <v>345</v>
      </c>
      <c r="C4" s="3" t="s">
        <v>23</v>
      </c>
      <c r="D4" s="2" t="s">
        <v>346</v>
      </c>
      <c r="E4" s="2" t="s">
        <v>15</v>
      </c>
      <c r="F4" s="2" t="s">
        <v>343</v>
      </c>
      <c r="G4" s="2" t="s">
        <v>83</v>
      </c>
      <c r="H4" s="3" t="s">
        <v>843</v>
      </c>
      <c r="I4" s="2" t="s">
        <v>844</v>
      </c>
      <c r="J4" s="2" t="s">
        <v>845</v>
      </c>
      <c r="K4" s="3" t="s">
        <v>846</v>
      </c>
    </row>
    <row r="5" customFormat="false" ht="48.5" hidden="false" customHeight="false" outlineLevel="0" collapsed="false">
      <c r="A5" s="2" t="s">
        <v>347</v>
      </c>
      <c r="B5" s="3" t="s">
        <v>348</v>
      </c>
      <c r="C5" s="3" t="s">
        <v>41</v>
      </c>
      <c r="D5" s="2" t="s">
        <v>349</v>
      </c>
      <c r="E5" s="2" t="s">
        <v>15</v>
      </c>
      <c r="F5" s="2" t="s">
        <v>15</v>
      </c>
      <c r="G5" s="2" t="s">
        <v>83</v>
      </c>
      <c r="H5" s="3" t="s">
        <v>847</v>
      </c>
      <c r="I5" s="2" t="s">
        <v>848</v>
      </c>
      <c r="J5" s="2" t="s">
        <v>654</v>
      </c>
      <c r="K5" s="3" t="s">
        <v>849</v>
      </c>
    </row>
    <row r="6" customFormat="false" ht="64.15" hidden="false" customHeight="false" outlineLevel="0" collapsed="false">
      <c r="A6" s="2" t="s">
        <v>350</v>
      </c>
      <c r="B6" s="3" t="s">
        <v>351</v>
      </c>
      <c r="C6" s="3" t="s">
        <v>32</v>
      </c>
      <c r="D6" s="2" t="s">
        <v>352</v>
      </c>
      <c r="E6" s="2" t="s">
        <v>15</v>
      </c>
      <c r="F6" s="2" t="s">
        <v>15</v>
      </c>
      <c r="G6" s="2" t="s">
        <v>83</v>
      </c>
      <c r="H6" s="3" t="s">
        <v>850</v>
      </c>
      <c r="I6" s="2" t="s">
        <v>851</v>
      </c>
      <c r="J6" s="2" t="s">
        <v>852</v>
      </c>
      <c r="K6" s="3" t="s">
        <v>853</v>
      </c>
    </row>
    <row r="7" customFormat="false" ht="48.5" hidden="false" customHeight="false" outlineLevel="0" collapsed="false">
      <c r="A7" s="2" t="s">
        <v>353</v>
      </c>
      <c r="B7" s="3" t="s">
        <v>354</v>
      </c>
      <c r="C7" s="3" t="s">
        <v>75</v>
      </c>
      <c r="D7" s="2" t="s">
        <v>355</v>
      </c>
      <c r="E7" s="2" t="s">
        <v>15</v>
      </c>
      <c r="F7" s="2" t="s">
        <v>15</v>
      </c>
      <c r="G7" s="2" t="s">
        <v>83</v>
      </c>
      <c r="H7" s="3" t="s">
        <v>854</v>
      </c>
      <c r="I7" s="2" t="s">
        <v>855</v>
      </c>
      <c r="J7" s="2" t="s">
        <v>856</v>
      </c>
      <c r="K7" s="3" t="s">
        <v>857</v>
      </c>
    </row>
    <row r="8" customFormat="false" ht="64.15" hidden="false" customHeight="false" outlineLevel="0" collapsed="false">
      <c r="A8" s="2" t="s">
        <v>356</v>
      </c>
      <c r="B8" s="3" t="s">
        <v>357</v>
      </c>
      <c r="C8" s="3" t="s">
        <v>75</v>
      </c>
      <c r="D8" s="2" t="s">
        <v>358</v>
      </c>
      <c r="E8" s="2" t="s">
        <v>15</v>
      </c>
      <c r="F8" s="2" t="s">
        <v>359</v>
      </c>
      <c r="G8" s="2" t="s">
        <v>83</v>
      </c>
      <c r="H8" s="3" t="s">
        <v>858</v>
      </c>
      <c r="I8" s="2" t="s">
        <v>859</v>
      </c>
      <c r="J8" s="3" t="s">
        <v>860</v>
      </c>
      <c r="K8" s="3" t="s">
        <v>861</v>
      </c>
    </row>
    <row r="9" customFormat="false" ht="48.5" hidden="false" customHeight="false" outlineLevel="0" collapsed="false">
      <c r="A9" s="2" t="s">
        <v>360</v>
      </c>
      <c r="B9" s="3" t="s">
        <v>361</v>
      </c>
      <c r="C9" s="3" t="s">
        <v>75</v>
      </c>
      <c r="D9" s="2" t="s">
        <v>358</v>
      </c>
      <c r="E9" s="2" t="s">
        <v>15</v>
      </c>
      <c r="F9" s="2" t="s">
        <v>362</v>
      </c>
      <c r="G9" s="2" t="s">
        <v>83</v>
      </c>
      <c r="H9" s="3" t="s">
        <v>862</v>
      </c>
      <c r="I9" s="2" t="s">
        <v>863</v>
      </c>
      <c r="J9" s="3" t="s">
        <v>860</v>
      </c>
      <c r="K9" s="3" t="s">
        <v>864</v>
      </c>
    </row>
    <row r="10" customFormat="false" ht="48.5" hidden="false" customHeight="false" outlineLevel="0" collapsed="false">
      <c r="A10" s="2" t="s">
        <v>363</v>
      </c>
      <c r="B10" s="3" t="s">
        <v>364</v>
      </c>
      <c r="C10" s="3" t="s">
        <v>41</v>
      </c>
      <c r="D10" s="2" t="s">
        <v>365</v>
      </c>
      <c r="E10" s="2" t="s">
        <v>15</v>
      </c>
      <c r="F10" s="2" t="s">
        <v>15</v>
      </c>
      <c r="G10" s="2" t="s">
        <v>83</v>
      </c>
      <c r="H10" s="3" t="s">
        <v>865</v>
      </c>
      <c r="I10" s="2" t="s">
        <v>866</v>
      </c>
      <c r="J10" s="3" t="s">
        <v>867</v>
      </c>
      <c r="K10" s="3" t="s">
        <v>868</v>
      </c>
    </row>
    <row r="11" customFormat="false" ht="48.5" hidden="false" customHeight="false" outlineLevel="0" collapsed="false">
      <c r="A11" s="2" t="s">
        <v>366</v>
      </c>
      <c r="B11" s="3" t="s">
        <v>367</v>
      </c>
      <c r="C11" s="3" t="s">
        <v>41</v>
      </c>
      <c r="D11" s="2" t="s">
        <v>368</v>
      </c>
      <c r="E11" s="2" t="s">
        <v>15</v>
      </c>
      <c r="F11" s="2" t="s">
        <v>15</v>
      </c>
      <c r="G11" s="2" t="s">
        <v>83</v>
      </c>
      <c r="H11" s="3" t="s">
        <v>869</v>
      </c>
      <c r="I11" s="2" t="s">
        <v>870</v>
      </c>
      <c r="J11" s="3" t="s">
        <v>871</v>
      </c>
      <c r="K11" s="3" t="s">
        <v>872</v>
      </c>
    </row>
    <row r="12" customFormat="false" ht="48.5" hidden="false" customHeight="false" outlineLevel="0" collapsed="false">
      <c r="A12" s="2" t="s">
        <v>369</v>
      </c>
      <c r="B12" s="3" t="s">
        <v>370</v>
      </c>
      <c r="C12" s="3" t="s">
        <v>75</v>
      </c>
      <c r="D12" s="2" t="s">
        <v>355</v>
      </c>
      <c r="E12" s="2" t="s">
        <v>15</v>
      </c>
      <c r="F12" s="2" t="s">
        <v>371</v>
      </c>
      <c r="G12" s="2" t="s">
        <v>83</v>
      </c>
      <c r="H12" s="3" t="s">
        <v>873</v>
      </c>
      <c r="I12" s="2" t="s">
        <v>874</v>
      </c>
      <c r="J12" s="3" t="s">
        <v>875</v>
      </c>
      <c r="K12" s="3" t="s">
        <v>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64.15" hidden="false" customHeight="false" outlineLevel="0" collapsed="false">
      <c r="A2" s="2" t="s">
        <v>374</v>
      </c>
      <c r="B2" s="3" t="s">
        <v>375</v>
      </c>
      <c r="C2" s="3" t="s">
        <v>23</v>
      </c>
      <c r="D2" s="3" t="s">
        <v>376</v>
      </c>
      <c r="E2" s="3" t="e">
        <f aca="false">河=、=泰山=</f>
        <v>#N/A</v>
      </c>
      <c r="F2" s="2" t="s">
        <v>343</v>
      </c>
      <c r="G2" s="2" t="s">
        <v>83</v>
      </c>
      <c r="H2" s="3" t="s">
        <v>877</v>
      </c>
      <c r="I2" s="2" t="s">
        <v>878</v>
      </c>
      <c r="J2" s="2" t="s">
        <v>879</v>
      </c>
      <c r="K2" s="3" t="s">
        <v>880</v>
      </c>
    </row>
    <row r="3" customFormat="false" ht="64.15" hidden="false" customHeight="false" outlineLevel="0" collapsed="false">
      <c r="A3" s="2" t="s">
        <v>377</v>
      </c>
      <c r="B3" s="3" t="s">
        <v>378</v>
      </c>
      <c r="C3" s="3" t="s">
        <v>23</v>
      </c>
      <c r="D3" s="2" t="s">
        <v>342</v>
      </c>
      <c r="E3" s="2" t="s">
        <v>15</v>
      </c>
      <c r="F3" s="2" t="s">
        <v>343</v>
      </c>
      <c r="G3" s="2" t="s">
        <v>83</v>
      </c>
      <c r="H3" s="3" t="s">
        <v>881</v>
      </c>
      <c r="I3" s="2" t="s">
        <v>882</v>
      </c>
      <c r="J3" s="2" t="s">
        <v>883</v>
      </c>
      <c r="K3" s="3" t="s">
        <v>884</v>
      </c>
    </row>
    <row r="4" customFormat="false" ht="64.15" hidden="false" customHeight="false" outlineLevel="0" collapsed="false">
      <c r="A4" s="2" t="s">
        <v>379</v>
      </c>
      <c r="B4" s="3" t="s">
        <v>380</v>
      </c>
      <c r="C4" s="3" t="s">
        <v>381</v>
      </c>
      <c r="D4" s="2" t="s">
        <v>382</v>
      </c>
      <c r="E4" s="2" t="s">
        <v>15</v>
      </c>
      <c r="F4" s="2" t="s">
        <v>383</v>
      </c>
      <c r="G4" s="2" t="s">
        <v>83</v>
      </c>
      <c r="H4" s="3" t="s">
        <v>885</v>
      </c>
      <c r="I4" s="2" t="s">
        <v>886</v>
      </c>
      <c r="J4" s="2" t="s">
        <v>887</v>
      </c>
      <c r="K4" s="3" t="s">
        <v>888</v>
      </c>
    </row>
    <row r="5" customFormat="false" ht="64.15" hidden="false" customHeight="false" outlineLevel="0" collapsed="false">
      <c r="A5" s="2" t="s">
        <v>384</v>
      </c>
      <c r="B5" s="3" t="s">
        <v>385</v>
      </c>
      <c r="C5" s="3" t="s">
        <v>23</v>
      </c>
      <c r="D5" s="2" t="s">
        <v>386</v>
      </c>
      <c r="E5" s="2" t="s">
        <v>15</v>
      </c>
      <c r="F5" s="2" t="s">
        <v>15</v>
      </c>
      <c r="G5" s="2" t="s">
        <v>83</v>
      </c>
      <c r="H5" s="3" t="s">
        <v>889</v>
      </c>
      <c r="I5" s="2" t="s">
        <v>890</v>
      </c>
      <c r="J5" s="2" t="s">
        <v>891</v>
      </c>
      <c r="K5" s="3" t="s">
        <v>892</v>
      </c>
    </row>
    <row r="6" customFormat="false" ht="64.15" hidden="false" customHeight="false" outlineLevel="0" collapsed="false">
      <c r="A6" s="2" t="s">
        <v>387</v>
      </c>
      <c r="B6" s="3" t="s">
        <v>388</v>
      </c>
      <c r="C6" s="3" t="s">
        <v>41</v>
      </c>
      <c r="D6" s="2" t="s">
        <v>358</v>
      </c>
      <c r="E6" s="3" t="e">
        <f aca="false">关中=</f>
        <v>#N/A</v>
      </c>
      <c r="F6" s="2" t="s">
        <v>325</v>
      </c>
      <c r="G6" s="2" t="s">
        <v>83</v>
      </c>
      <c r="H6" s="3" t="s">
        <v>893</v>
      </c>
      <c r="I6" s="2" t="s">
        <v>894</v>
      </c>
      <c r="J6" s="3" t="s">
        <v>895</v>
      </c>
      <c r="K6" s="3" t="s">
        <v>896</v>
      </c>
    </row>
    <row r="7" customFormat="false" ht="48.5" hidden="false" customHeight="false" outlineLevel="0" collapsed="false">
      <c r="A7" s="2" t="s">
        <v>389</v>
      </c>
      <c r="B7" s="3" t="s">
        <v>390</v>
      </c>
      <c r="C7" s="3" t="s">
        <v>75</v>
      </c>
      <c r="D7" s="2" t="s">
        <v>391</v>
      </c>
      <c r="E7" s="2" t="s">
        <v>15</v>
      </c>
      <c r="F7" s="2" t="s">
        <v>392</v>
      </c>
      <c r="G7" s="2" t="s">
        <v>83</v>
      </c>
      <c r="H7" s="3" t="s">
        <v>897</v>
      </c>
      <c r="I7" s="2" t="s">
        <v>898</v>
      </c>
      <c r="J7" s="3" t="s">
        <v>899</v>
      </c>
      <c r="K7" s="3" t="s">
        <v>900</v>
      </c>
    </row>
    <row r="8" customFormat="false" ht="48.5" hidden="false" customHeight="false" outlineLevel="0" collapsed="false">
      <c r="A8" s="2" t="s">
        <v>393</v>
      </c>
      <c r="B8" s="3" t="s">
        <v>394</v>
      </c>
      <c r="C8" s="3" t="s">
        <v>23</v>
      </c>
      <c r="D8" s="2" t="s">
        <v>342</v>
      </c>
      <c r="E8" s="2" t="s">
        <v>15</v>
      </c>
      <c r="F8" s="2" t="s">
        <v>395</v>
      </c>
      <c r="G8" s="2" t="s">
        <v>83</v>
      </c>
      <c r="H8" s="3" t="s">
        <v>901</v>
      </c>
      <c r="I8" s="2" t="s">
        <v>902</v>
      </c>
      <c r="J8" s="3" t="s">
        <v>903</v>
      </c>
      <c r="K8" s="3" t="s">
        <v>904</v>
      </c>
    </row>
    <row r="9" customFormat="false" ht="64.15" hidden="false" customHeight="false" outlineLevel="0" collapsed="false">
      <c r="A9" s="2" t="s">
        <v>396</v>
      </c>
      <c r="B9" s="3" t="s">
        <v>397</v>
      </c>
      <c r="C9" s="3" t="s">
        <v>23</v>
      </c>
      <c r="D9" s="2" t="s">
        <v>398</v>
      </c>
      <c r="E9" s="2" t="s">
        <v>15</v>
      </c>
      <c r="F9" s="2" t="s">
        <v>399</v>
      </c>
      <c r="G9" s="2" t="s">
        <v>83</v>
      </c>
      <c r="H9" s="3" t="s">
        <v>905</v>
      </c>
      <c r="I9" s="2" t="s">
        <v>906</v>
      </c>
      <c r="J9" s="3" t="s">
        <v>907</v>
      </c>
      <c r="K9" s="3" t="s">
        <v>908</v>
      </c>
    </row>
    <row r="10" customFormat="false" ht="48.5" hidden="false" customHeight="false" outlineLevel="0" collapsed="false">
      <c r="A10" s="2" t="s">
        <v>400</v>
      </c>
      <c r="B10" s="3" t="s">
        <v>401</v>
      </c>
      <c r="C10" s="3" t="s">
        <v>23</v>
      </c>
      <c r="D10" s="2" t="s">
        <v>402</v>
      </c>
      <c r="E10" s="2" t="s">
        <v>15</v>
      </c>
      <c r="F10" s="2" t="s">
        <v>403</v>
      </c>
      <c r="G10" s="2" t="s">
        <v>83</v>
      </c>
      <c r="H10" s="3" t="s">
        <v>909</v>
      </c>
      <c r="I10" s="2" t="s">
        <v>910</v>
      </c>
      <c r="J10" s="3" t="s">
        <v>911</v>
      </c>
      <c r="K10" s="3" t="s">
        <v>912</v>
      </c>
    </row>
    <row r="11" customFormat="false" ht="64.15" hidden="false" customHeight="false" outlineLevel="0" collapsed="false">
      <c r="A11" s="2" t="s">
        <v>404</v>
      </c>
      <c r="B11" s="3" t="s">
        <v>405</v>
      </c>
      <c r="C11" s="3" t="s">
        <v>41</v>
      </c>
      <c r="D11" s="2" t="s">
        <v>406</v>
      </c>
      <c r="E11" s="2" t="s">
        <v>15</v>
      </c>
      <c r="F11" s="2" t="s">
        <v>407</v>
      </c>
      <c r="G11" s="2" t="s">
        <v>83</v>
      </c>
      <c r="H11" s="3" t="s">
        <v>913</v>
      </c>
      <c r="I11" s="2" t="s">
        <v>914</v>
      </c>
      <c r="J11" s="3" t="s">
        <v>915</v>
      </c>
      <c r="K11" s="3" t="s">
        <v>916</v>
      </c>
    </row>
    <row r="12" customFormat="false" ht="79.85" hidden="false" customHeight="false" outlineLevel="0" collapsed="false">
      <c r="A12" s="2" t="s">
        <v>408</v>
      </c>
      <c r="B12" s="3" t="s">
        <v>409</v>
      </c>
      <c r="C12" s="3" t="s">
        <v>23</v>
      </c>
      <c r="D12" s="2" t="s">
        <v>410</v>
      </c>
      <c r="E12" s="2" t="s">
        <v>15</v>
      </c>
      <c r="F12" s="2" t="s">
        <v>411</v>
      </c>
      <c r="G12" s="2" t="s">
        <v>83</v>
      </c>
      <c r="H12" s="3" t="s">
        <v>917</v>
      </c>
      <c r="I12" s="2" t="s">
        <v>918</v>
      </c>
      <c r="J12" s="3" t="s">
        <v>919</v>
      </c>
      <c r="K12" s="2" t="s">
        <v>920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95.5" hidden="false" customHeight="false" outlineLevel="0" collapsed="false">
      <c r="A2" s="2" t="s">
        <v>414</v>
      </c>
      <c r="B2" s="3" t="s">
        <v>415</v>
      </c>
      <c r="C2" s="3" t="s">
        <v>23</v>
      </c>
      <c r="D2" s="2" t="s">
        <v>416</v>
      </c>
      <c r="E2" s="2" t="s">
        <v>417</v>
      </c>
      <c r="F2" s="2" t="s">
        <v>15</v>
      </c>
      <c r="G2" s="2" t="s">
        <v>83</v>
      </c>
      <c r="H2" s="3" t="s">
        <v>921</v>
      </c>
      <c r="I2" s="2" t="s">
        <v>922</v>
      </c>
      <c r="J2" s="2" t="s">
        <v>923</v>
      </c>
      <c r="K2" s="3" t="s">
        <v>924</v>
      </c>
    </row>
    <row r="3" customFormat="false" ht="48.5" hidden="false" customHeight="false" outlineLevel="0" collapsed="false">
      <c r="A3" s="2" t="s">
        <v>418</v>
      </c>
      <c r="B3" s="3" t="s">
        <v>419</v>
      </c>
      <c r="C3" s="3" t="s">
        <v>23</v>
      </c>
      <c r="D3" s="3" t="s">
        <v>420</v>
      </c>
      <c r="E3" s="2" t="s">
        <v>15</v>
      </c>
      <c r="F3" s="2" t="s">
        <v>343</v>
      </c>
      <c r="G3" s="2" t="s">
        <v>83</v>
      </c>
      <c r="H3" s="3" t="s">
        <v>925</v>
      </c>
      <c r="I3" s="2" t="s">
        <v>926</v>
      </c>
      <c r="J3" s="2" t="s">
        <v>595</v>
      </c>
      <c r="K3" s="3" t="s">
        <v>927</v>
      </c>
    </row>
    <row r="4" customFormat="false" ht="95.5" hidden="false" customHeight="false" outlineLevel="0" collapsed="false">
      <c r="A4" s="2" t="s">
        <v>421</v>
      </c>
      <c r="B4" s="3" t="s">
        <v>422</v>
      </c>
      <c r="C4" s="3" t="s">
        <v>23</v>
      </c>
      <c r="D4" s="2" t="s">
        <v>423</v>
      </c>
      <c r="E4" s="2" t="s">
        <v>15</v>
      </c>
      <c r="F4" s="2" t="s">
        <v>15</v>
      </c>
      <c r="G4" s="2" t="s">
        <v>83</v>
      </c>
      <c r="H4" s="3" t="s">
        <v>928</v>
      </c>
      <c r="I4" s="2" t="s">
        <v>929</v>
      </c>
      <c r="J4" s="2" t="s">
        <v>654</v>
      </c>
      <c r="K4" s="3" t="s">
        <v>930</v>
      </c>
    </row>
    <row r="5" customFormat="false" ht="95.5" hidden="false" customHeight="false" outlineLevel="0" collapsed="false">
      <c r="A5" s="2" t="s">
        <v>424</v>
      </c>
      <c r="B5" s="3" t="s">
        <v>425</v>
      </c>
      <c r="C5" s="3" t="s">
        <v>23</v>
      </c>
      <c r="D5" s="2" t="s">
        <v>426</v>
      </c>
      <c r="E5" s="2" t="s">
        <v>15</v>
      </c>
      <c r="F5" s="2" t="s">
        <v>427</v>
      </c>
      <c r="G5" s="2" t="s">
        <v>83</v>
      </c>
      <c r="H5" s="3" t="s">
        <v>931</v>
      </c>
      <c r="I5" s="2" t="s">
        <v>932</v>
      </c>
      <c r="J5" s="3" t="s">
        <v>933</v>
      </c>
      <c r="K5" s="3" t="s">
        <v>934</v>
      </c>
    </row>
    <row r="6" customFormat="false" ht="48.5" hidden="false" customHeight="false" outlineLevel="0" collapsed="false">
      <c r="A6" s="2" t="s">
        <v>428</v>
      </c>
      <c r="B6" s="3" t="s">
        <v>429</v>
      </c>
      <c r="C6" s="3" t="s">
        <v>41</v>
      </c>
      <c r="D6" s="2" t="s">
        <v>365</v>
      </c>
      <c r="E6" s="2" t="s">
        <v>15</v>
      </c>
      <c r="F6" s="2" t="s">
        <v>430</v>
      </c>
      <c r="G6" s="2" t="s">
        <v>83</v>
      </c>
      <c r="H6" s="3" t="s">
        <v>935</v>
      </c>
      <c r="I6" s="2" t="s">
        <v>936</v>
      </c>
      <c r="J6" s="3" t="s">
        <v>937</v>
      </c>
      <c r="K6" s="3" t="s">
        <v>868</v>
      </c>
    </row>
    <row r="7" customFormat="false" ht="48.5" hidden="false" customHeight="false" outlineLevel="0" collapsed="false">
      <c r="A7" s="2" t="s">
        <v>431</v>
      </c>
      <c r="B7" s="3" t="s">
        <v>432</v>
      </c>
      <c r="C7" s="3" t="s">
        <v>23</v>
      </c>
      <c r="D7" s="2" t="s">
        <v>365</v>
      </c>
      <c r="E7" s="2" t="s">
        <v>15</v>
      </c>
      <c r="F7" s="2" t="s">
        <v>433</v>
      </c>
      <c r="G7" s="2" t="s">
        <v>83</v>
      </c>
      <c r="H7" s="3" t="s">
        <v>938</v>
      </c>
      <c r="I7" s="2" t="s">
        <v>939</v>
      </c>
      <c r="J7" s="3" t="s">
        <v>940</v>
      </c>
      <c r="K7" s="3" t="s">
        <v>868</v>
      </c>
    </row>
    <row r="8" customFormat="false" ht="32.8" hidden="false" customHeight="false" outlineLevel="0" collapsed="false">
      <c r="A8" s="2" t="s">
        <v>434</v>
      </c>
      <c r="B8" s="3" t="s">
        <v>435</v>
      </c>
      <c r="C8" s="3" t="s">
        <v>75</v>
      </c>
      <c r="D8" s="2" t="s">
        <v>355</v>
      </c>
      <c r="E8" s="2" t="s">
        <v>15</v>
      </c>
      <c r="F8" s="2" t="s">
        <v>15</v>
      </c>
      <c r="G8" s="2" t="s">
        <v>83</v>
      </c>
      <c r="H8" s="3" t="s">
        <v>941</v>
      </c>
      <c r="I8" s="2" t="s">
        <v>942</v>
      </c>
      <c r="J8" s="2" t="s">
        <v>654</v>
      </c>
      <c r="K8" s="3" t="s">
        <v>857</v>
      </c>
    </row>
    <row r="9" customFormat="false" ht="95.5" hidden="false" customHeight="false" outlineLevel="0" collapsed="false">
      <c r="A9" s="2" t="s">
        <v>436</v>
      </c>
      <c r="B9" s="3" t="s">
        <v>437</v>
      </c>
      <c r="C9" s="3" t="s">
        <v>257</v>
      </c>
      <c r="D9" s="2" t="s">
        <v>438</v>
      </c>
      <c r="E9" s="3" t="e">
        <f aca="false">长安=</f>
        <v>#N/A</v>
      </c>
      <c r="F9" s="2" t="s">
        <v>439</v>
      </c>
      <c r="G9" s="2" t="s">
        <v>83</v>
      </c>
      <c r="H9" s="3" t="s">
        <v>943</v>
      </c>
      <c r="I9" s="2" t="s">
        <v>944</v>
      </c>
      <c r="J9" s="3" t="s">
        <v>945</v>
      </c>
      <c r="K9" s="3" t="s">
        <v>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64.15" hidden="false" customHeight="false" outlineLevel="0" collapsed="false">
      <c r="A2" s="2" t="s">
        <v>442</v>
      </c>
      <c r="B2" s="3" t="s">
        <v>443</v>
      </c>
      <c r="C2" s="3" t="s">
        <v>75</v>
      </c>
      <c r="D2" s="3" t="s">
        <v>444</v>
      </c>
      <c r="E2" s="2" t="s">
        <v>15</v>
      </c>
      <c r="F2" s="2" t="s">
        <v>15</v>
      </c>
      <c r="G2" s="2" t="s">
        <v>83</v>
      </c>
      <c r="H2" s="3" t="s">
        <v>947</v>
      </c>
      <c r="I2" s="2" t="s">
        <v>948</v>
      </c>
      <c r="J2" s="2" t="s">
        <v>637</v>
      </c>
      <c r="K2" s="3" t="s">
        <v>949</v>
      </c>
    </row>
    <row r="3" customFormat="false" ht="64.15" hidden="false" customHeight="false" outlineLevel="0" collapsed="false">
      <c r="A3" s="2" t="s">
        <v>445</v>
      </c>
      <c r="B3" s="3" t="s">
        <v>446</v>
      </c>
      <c r="C3" s="3" t="s">
        <v>75</v>
      </c>
      <c r="D3" s="2" t="s">
        <v>447</v>
      </c>
      <c r="E3" s="3" t="e">
        <f aca="false">东瓯=</f>
        <v>#N/A</v>
      </c>
      <c r="F3" s="2" t="s">
        <v>15</v>
      </c>
      <c r="G3" s="2" t="s">
        <v>83</v>
      </c>
      <c r="H3" s="3" t="s">
        <v>950</v>
      </c>
      <c r="I3" s="2" t="s">
        <v>951</v>
      </c>
      <c r="J3" s="2" t="s">
        <v>952</v>
      </c>
      <c r="K3" s="3" t="s">
        <v>953</v>
      </c>
    </row>
    <row r="4" customFormat="false" ht="48.5" hidden="false" customHeight="false" outlineLevel="0" collapsed="false">
      <c r="A4" s="2" t="s">
        <v>448</v>
      </c>
      <c r="B4" s="3" t="s">
        <v>449</v>
      </c>
      <c r="C4" s="3" t="s">
        <v>75</v>
      </c>
      <c r="D4" s="2" t="s">
        <v>352</v>
      </c>
      <c r="E4" s="2" t="s">
        <v>15</v>
      </c>
      <c r="F4" s="2" t="s">
        <v>450</v>
      </c>
      <c r="G4" s="2" t="s">
        <v>83</v>
      </c>
      <c r="H4" s="3" t="s">
        <v>954</v>
      </c>
      <c r="I4" s="2" t="s">
        <v>955</v>
      </c>
      <c r="J4" s="3" t="s">
        <v>956</v>
      </c>
      <c r="K4" s="3" t="s">
        <v>957</v>
      </c>
    </row>
    <row r="5" customFormat="false" ht="48.5" hidden="false" customHeight="false" outlineLevel="0" collapsed="false">
      <c r="A5" s="2" t="s">
        <v>451</v>
      </c>
      <c r="B5" s="3" t="s">
        <v>452</v>
      </c>
      <c r="C5" s="3" t="s">
        <v>75</v>
      </c>
      <c r="D5" s="2" t="s">
        <v>453</v>
      </c>
      <c r="E5" s="2" t="s">
        <v>15</v>
      </c>
      <c r="F5" s="2" t="s">
        <v>454</v>
      </c>
      <c r="G5" s="2" t="s">
        <v>83</v>
      </c>
      <c r="H5" s="3" t="s">
        <v>958</v>
      </c>
      <c r="I5" s="2" t="s">
        <v>959</v>
      </c>
      <c r="J5" s="3" t="s">
        <v>960</v>
      </c>
      <c r="K5" s="3" t="s">
        <v>961</v>
      </c>
    </row>
    <row r="6" customFormat="false" ht="32.8" hidden="false" customHeight="false" outlineLevel="0" collapsed="false">
      <c r="A6" s="2" t="s">
        <v>455</v>
      </c>
      <c r="B6" s="3" t="s">
        <v>456</v>
      </c>
      <c r="C6" s="3" t="s">
        <v>23</v>
      </c>
      <c r="D6" s="2" t="s">
        <v>457</v>
      </c>
      <c r="E6" s="2" t="s">
        <v>15</v>
      </c>
      <c r="F6" s="2" t="s">
        <v>458</v>
      </c>
      <c r="G6" s="2" t="s">
        <v>83</v>
      </c>
      <c r="H6" s="3" t="s">
        <v>962</v>
      </c>
      <c r="I6" s="2" t="s">
        <v>963</v>
      </c>
      <c r="J6" s="3" t="s">
        <v>964</v>
      </c>
      <c r="K6" s="3" t="s">
        <v>965</v>
      </c>
    </row>
    <row r="7" customFormat="false" ht="48.5" hidden="false" customHeight="false" outlineLevel="0" collapsed="false">
      <c r="A7" s="2" t="s">
        <v>459</v>
      </c>
      <c r="B7" s="3" t="s">
        <v>460</v>
      </c>
      <c r="C7" s="3" t="s">
        <v>23</v>
      </c>
      <c r="D7" s="2" t="s">
        <v>453</v>
      </c>
      <c r="E7" s="2" t="s">
        <v>15</v>
      </c>
      <c r="F7" s="2" t="s">
        <v>461</v>
      </c>
      <c r="G7" s="2" t="s">
        <v>83</v>
      </c>
      <c r="H7" s="3" t="s">
        <v>966</v>
      </c>
      <c r="I7" s="2" t="s">
        <v>967</v>
      </c>
      <c r="J7" s="3" t="s">
        <v>968</v>
      </c>
      <c r="K7" s="3" t="s">
        <v>961</v>
      </c>
    </row>
    <row r="8" customFormat="false" ht="48.5" hidden="false" customHeight="false" outlineLevel="0" collapsed="false">
      <c r="A8" s="2" t="s">
        <v>462</v>
      </c>
      <c r="B8" s="3" t="s">
        <v>463</v>
      </c>
      <c r="C8" s="3" t="s">
        <v>23</v>
      </c>
      <c r="D8" s="2" t="s">
        <v>464</v>
      </c>
      <c r="E8" s="2" t="s">
        <v>15</v>
      </c>
      <c r="F8" s="2" t="s">
        <v>465</v>
      </c>
      <c r="G8" s="2" t="s">
        <v>83</v>
      </c>
      <c r="H8" s="3" t="s">
        <v>969</v>
      </c>
      <c r="I8" s="2" t="s">
        <v>970</v>
      </c>
      <c r="J8" s="3" t="s">
        <v>971</v>
      </c>
      <c r="K8" s="3" t="s">
        <v>972</v>
      </c>
    </row>
    <row r="9" customFormat="false" ht="64.15" hidden="false" customHeight="false" outlineLevel="0" collapsed="false">
      <c r="A9" s="2" t="s">
        <v>466</v>
      </c>
      <c r="B9" s="3" t="s">
        <v>467</v>
      </c>
      <c r="C9" s="3" t="s">
        <v>23</v>
      </c>
      <c r="D9" s="2" t="s">
        <v>468</v>
      </c>
      <c r="E9" s="2" t="s">
        <v>15</v>
      </c>
      <c r="F9" s="2" t="s">
        <v>15</v>
      </c>
      <c r="G9" s="2" t="s">
        <v>83</v>
      </c>
      <c r="H9" s="3" t="s">
        <v>973</v>
      </c>
      <c r="I9" s="3" t="s">
        <v>974</v>
      </c>
      <c r="J9" s="3" t="s">
        <v>975</v>
      </c>
      <c r="K9" s="3" t="s">
        <v>976</v>
      </c>
    </row>
    <row r="10" customFormat="false" ht="48.5" hidden="false" customHeight="false" outlineLevel="0" collapsed="false">
      <c r="A10" s="2" t="s">
        <v>469</v>
      </c>
      <c r="B10" s="3" t="s">
        <v>470</v>
      </c>
      <c r="C10" s="3" t="s">
        <v>75</v>
      </c>
      <c r="D10" s="2" t="s">
        <v>457</v>
      </c>
      <c r="E10" s="2" t="s">
        <v>15</v>
      </c>
      <c r="F10" s="2" t="s">
        <v>450</v>
      </c>
      <c r="G10" s="2" t="s">
        <v>83</v>
      </c>
      <c r="H10" s="3" t="s">
        <v>977</v>
      </c>
      <c r="I10" s="2" t="s">
        <v>978</v>
      </c>
      <c r="J10" s="3" t="s">
        <v>979</v>
      </c>
      <c r="K10" s="3" t="s">
        <v>965</v>
      </c>
    </row>
    <row r="11" customFormat="false" ht="79.85" hidden="false" customHeight="false" outlineLevel="0" collapsed="false">
      <c r="A11" s="2" t="s">
        <v>471</v>
      </c>
      <c r="B11" s="3" t="s">
        <v>472</v>
      </c>
      <c r="C11" s="3" t="s">
        <v>75</v>
      </c>
      <c r="D11" s="2" t="s">
        <v>473</v>
      </c>
      <c r="E11" s="3" t="e">
        <f aca="false">祁连=</f>
        <v>#N/A</v>
      </c>
      <c r="F11" s="2" t="s">
        <v>454</v>
      </c>
      <c r="G11" s="2" t="s">
        <v>83</v>
      </c>
      <c r="H11" s="3" t="s">
        <v>980</v>
      </c>
      <c r="I11" s="2" t="s">
        <v>981</v>
      </c>
      <c r="J11" s="3" t="s">
        <v>982</v>
      </c>
      <c r="K11" s="3" t="s">
        <v>983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95.5" hidden="false" customHeight="false" outlineLevel="0" collapsed="false">
      <c r="A2" s="2" t="s">
        <v>476</v>
      </c>
      <c r="B2" s="3" t="s">
        <v>477</v>
      </c>
      <c r="C2" s="3" t="s">
        <v>32</v>
      </c>
      <c r="D2" s="2" t="s">
        <v>352</v>
      </c>
      <c r="E2" s="2" t="s">
        <v>15</v>
      </c>
      <c r="F2" s="2" t="s">
        <v>478</v>
      </c>
      <c r="G2" s="2" t="s">
        <v>83</v>
      </c>
      <c r="H2" s="3" t="s">
        <v>984</v>
      </c>
      <c r="I2" s="2" t="s">
        <v>985</v>
      </c>
      <c r="J2" s="2" t="s">
        <v>986</v>
      </c>
      <c r="K2" s="3" t="s">
        <v>987</v>
      </c>
    </row>
    <row r="3" customFormat="false" ht="79.85" hidden="false" customHeight="false" outlineLevel="0" collapsed="false">
      <c r="A3" s="2" t="s">
        <v>479</v>
      </c>
      <c r="B3" s="3" t="s">
        <v>480</v>
      </c>
      <c r="C3" s="3" t="s">
        <v>23</v>
      </c>
      <c r="D3" s="2" t="s">
        <v>352</v>
      </c>
      <c r="E3" s="2" t="s">
        <v>15</v>
      </c>
      <c r="F3" s="2" t="s">
        <v>15</v>
      </c>
      <c r="G3" s="2" t="s">
        <v>83</v>
      </c>
      <c r="H3" s="3" t="s">
        <v>988</v>
      </c>
      <c r="I3" s="3" t="s">
        <v>989</v>
      </c>
      <c r="J3" s="3" t="s">
        <v>990</v>
      </c>
      <c r="K3" s="3" t="s">
        <v>991</v>
      </c>
    </row>
    <row r="4" customFormat="false" ht="64.15" hidden="false" customHeight="false" outlineLevel="0" collapsed="false">
      <c r="A4" s="2" t="s">
        <v>481</v>
      </c>
      <c r="B4" s="3" t="s">
        <v>482</v>
      </c>
      <c r="C4" s="3" t="s">
        <v>41</v>
      </c>
      <c r="D4" s="2" t="s">
        <v>483</v>
      </c>
      <c r="E4" s="2" t="s">
        <v>15</v>
      </c>
      <c r="F4" s="2" t="s">
        <v>15</v>
      </c>
      <c r="G4" s="2" t="s">
        <v>83</v>
      </c>
      <c r="H4" s="3" t="s">
        <v>992</v>
      </c>
      <c r="I4" s="3" t="s">
        <v>993</v>
      </c>
      <c r="J4" s="3" t="s">
        <v>994</v>
      </c>
      <c r="K4" s="3" t="s">
        <v>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0.92"/>
    <col collapsed="false" customWidth="true" hidden="false" outlineLevel="0" max="4" min="4" style="0" width="27.3"/>
    <col collapsed="false" customWidth="true" hidden="false" outlineLevel="0" max="5" min="5" style="0" width="10.92"/>
    <col collapsed="false" customWidth="true" hidden="false" outlineLevel="0" max="6" min="6" style="0" width="27.3"/>
    <col collapsed="false" customWidth="true" hidden="false" outlineLevel="0" max="7" min="7" style="0" width="14.56"/>
    <col collapsed="false" customWidth="true" hidden="false" outlineLevel="0" max="8" min="8" style="0" width="45.49"/>
    <col collapsed="false" customWidth="true" hidden="false" outlineLevel="0" max="9" min="9" style="0" width="36.39"/>
    <col collapsed="false" customWidth="true" hidden="false" outlineLevel="0" max="10" min="10" style="0" width="13.65"/>
    <col collapsed="false" customWidth="true" hidden="false" outlineLevel="0" max="11" min="11" style="0" width="45.49"/>
  </cols>
  <sheetData>
    <row r="1" customFormat="false" ht="17.15" hidden="false" customHeight="false" outlineLevel="0" collapsed="false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529</v>
      </c>
      <c r="I1" s="1" t="s">
        <v>530</v>
      </c>
      <c r="J1" s="1" t="s">
        <v>531</v>
      </c>
      <c r="K1" s="1" t="s">
        <v>532</v>
      </c>
    </row>
    <row r="2" customFormat="false" ht="32.8" hidden="false" customHeight="false" outlineLevel="0" collapsed="false">
      <c r="A2" s="2" t="s">
        <v>486</v>
      </c>
      <c r="B2" s="3" t="s">
        <v>487</v>
      </c>
      <c r="C2" s="3" t="s">
        <v>23</v>
      </c>
      <c r="D2" s="2" t="s">
        <v>488</v>
      </c>
      <c r="E2" s="3" t="e">
        <f aca="false">南郑=</f>
        <v>#N/A</v>
      </c>
      <c r="F2" s="2" t="s">
        <v>399</v>
      </c>
      <c r="G2" s="2" t="s">
        <v>83</v>
      </c>
      <c r="H2" s="3" t="s">
        <v>996</v>
      </c>
      <c r="I2" s="2" t="s">
        <v>997</v>
      </c>
      <c r="J2" s="3" t="s">
        <v>998</v>
      </c>
      <c r="K2" s="3" t="s">
        <v>999</v>
      </c>
    </row>
    <row r="3" customFormat="false" ht="32.8" hidden="false" customHeight="false" outlineLevel="0" collapsed="false">
      <c r="A3" s="2" t="s">
        <v>489</v>
      </c>
      <c r="B3" s="3" t="s">
        <v>490</v>
      </c>
      <c r="C3" s="3" t="s">
        <v>75</v>
      </c>
      <c r="D3" s="2" t="s">
        <v>491</v>
      </c>
      <c r="E3" s="3" t="e">
        <f aca="false">垓下=</f>
        <v>#N/A</v>
      </c>
      <c r="F3" s="2" t="s">
        <v>492</v>
      </c>
      <c r="G3" s="2" t="s">
        <v>83</v>
      </c>
      <c r="H3" s="3" t="s">
        <v>1000</v>
      </c>
      <c r="I3" s="2" t="s">
        <v>1001</v>
      </c>
      <c r="J3" s="3" t="s">
        <v>1002</v>
      </c>
      <c r="K3" s="3" t="s">
        <v>1003</v>
      </c>
    </row>
    <row r="4" customFormat="false" ht="32.8" hidden="false" customHeight="false" outlineLevel="0" collapsed="false">
      <c r="A4" s="2" t="s">
        <v>493</v>
      </c>
      <c r="B4" s="3" t="s">
        <v>494</v>
      </c>
      <c r="C4" s="3" t="s">
        <v>124</v>
      </c>
      <c r="D4" s="2" t="s">
        <v>491</v>
      </c>
      <c r="E4" s="3" t="e">
        <f aca="false">定陶=</f>
        <v>#N/A</v>
      </c>
      <c r="F4" s="2" t="s">
        <v>15</v>
      </c>
      <c r="G4" s="2" t="s">
        <v>83</v>
      </c>
      <c r="H4" s="3" t="s">
        <v>1004</v>
      </c>
      <c r="I4" s="2" t="s">
        <v>1005</v>
      </c>
      <c r="J4" s="3" t="s">
        <v>1002</v>
      </c>
      <c r="K4" s="3" t="s">
        <v>1003</v>
      </c>
    </row>
    <row r="5" customFormat="false" ht="32.8" hidden="false" customHeight="false" outlineLevel="0" collapsed="false">
      <c r="A5" s="2" t="s">
        <v>495</v>
      </c>
      <c r="B5" s="3" t="s">
        <v>496</v>
      </c>
      <c r="C5" s="3" t="s">
        <v>257</v>
      </c>
      <c r="D5" s="2" t="s">
        <v>342</v>
      </c>
      <c r="E5" s="3" t="e">
        <f aca="false">长安=</f>
        <v>#N/A</v>
      </c>
      <c r="F5" s="2" t="s">
        <v>15</v>
      </c>
      <c r="G5" s="2" t="s">
        <v>83</v>
      </c>
      <c r="H5" s="3" t="s">
        <v>1006</v>
      </c>
      <c r="I5" s="2" t="s">
        <v>1007</v>
      </c>
      <c r="J5" s="3" t="s">
        <v>1008</v>
      </c>
      <c r="K5" s="3" t="s">
        <v>1009</v>
      </c>
    </row>
    <row r="6" customFormat="false" ht="48.5" hidden="false" customHeight="false" outlineLevel="0" collapsed="false">
      <c r="A6" s="2" t="s">
        <v>497</v>
      </c>
      <c r="B6" s="3" t="s">
        <v>498</v>
      </c>
      <c r="C6" s="3" t="s">
        <v>75</v>
      </c>
      <c r="D6" s="2" t="s">
        <v>499</v>
      </c>
      <c r="E6" s="3" t="e">
        <f aca="false">平城=</f>
        <v>#N/A</v>
      </c>
      <c r="F6" s="2" t="s">
        <v>15</v>
      </c>
      <c r="G6" s="2" t="s">
        <v>83</v>
      </c>
      <c r="H6" s="3" t="s">
        <v>1010</v>
      </c>
      <c r="I6" s="2" t="s">
        <v>1011</v>
      </c>
      <c r="J6" s="3" t="s">
        <v>1012</v>
      </c>
      <c r="K6" s="3" t="s">
        <v>1013</v>
      </c>
    </row>
    <row r="7" customFormat="false" ht="64.15" hidden="false" customHeight="false" outlineLevel="0" collapsed="false">
      <c r="A7" s="2" t="s">
        <v>500</v>
      </c>
      <c r="B7" s="3" t="s">
        <v>501</v>
      </c>
      <c r="C7" s="3" t="s">
        <v>257</v>
      </c>
      <c r="D7" s="2" t="s">
        <v>502</v>
      </c>
      <c r="E7" s="2" t="s">
        <v>15</v>
      </c>
      <c r="F7" s="2" t="s">
        <v>15</v>
      </c>
      <c r="G7" s="2" t="s">
        <v>83</v>
      </c>
      <c r="H7" s="3" t="s">
        <v>1014</v>
      </c>
      <c r="I7" s="2" t="s">
        <v>1015</v>
      </c>
      <c r="J7" s="3" t="s">
        <v>1016</v>
      </c>
      <c r="K7" s="3" t="s">
        <v>1017</v>
      </c>
    </row>
    <row r="8" customFormat="false" ht="17.15" hidden="false" customHeight="false" outlineLevel="0" collapsed="false">
      <c r="A8" s="2" t="s">
        <v>503</v>
      </c>
      <c r="B8" s="3" t="s">
        <v>504</v>
      </c>
      <c r="C8" s="3" t="s">
        <v>75</v>
      </c>
      <c r="D8" s="2" t="s">
        <v>391</v>
      </c>
      <c r="E8" s="2" t="s">
        <v>15</v>
      </c>
      <c r="F8" s="2" t="s">
        <v>392</v>
      </c>
      <c r="G8" s="2" t="s">
        <v>83</v>
      </c>
      <c r="H8" s="3" t="s">
        <v>1018</v>
      </c>
      <c r="I8" s="2" t="s">
        <v>1019</v>
      </c>
      <c r="J8" s="3" t="s">
        <v>1020</v>
      </c>
      <c r="K8" s="3" t="s">
        <v>900</v>
      </c>
    </row>
    <row r="9" customFormat="false" ht="48.5" hidden="false" customHeight="false" outlineLevel="0" collapsed="false">
      <c r="A9" s="2" t="s">
        <v>505</v>
      </c>
      <c r="B9" s="3" t="s">
        <v>506</v>
      </c>
      <c r="C9" s="3" t="s">
        <v>41</v>
      </c>
      <c r="D9" s="2" t="s">
        <v>358</v>
      </c>
      <c r="E9" s="2" t="s">
        <v>15</v>
      </c>
      <c r="F9" s="2" t="s">
        <v>507</v>
      </c>
      <c r="G9" s="2" t="s">
        <v>83</v>
      </c>
      <c r="H9" s="3" t="s">
        <v>1021</v>
      </c>
      <c r="I9" s="2" t="s">
        <v>1022</v>
      </c>
      <c r="J9" s="3" t="s">
        <v>860</v>
      </c>
      <c r="K9" s="3" t="s">
        <v>896</v>
      </c>
    </row>
    <row r="10" customFormat="false" ht="32.8" hidden="false" customHeight="false" outlineLevel="0" collapsed="false">
      <c r="A10" s="2" t="s">
        <v>508</v>
      </c>
      <c r="B10" s="3" t="s">
        <v>509</v>
      </c>
      <c r="C10" s="3" t="s">
        <v>124</v>
      </c>
      <c r="D10" s="2" t="s">
        <v>346</v>
      </c>
      <c r="E10" s="3" t="e">
        <f aca="false">长陵=</f>
        <v>#N/A</v>
      </c>
      <c r="F10" s="2" t="s">
        <v>15</v>
      </c>
      <c r="G10" s="2" t="s">
        <v>83</v>
      </c>
      <c r="H10" s="3" t="s">
        <v>1023</v>
      </c>
      <c r="I10" s="2" t="s">
        <v>1024</v>
      </c>
      <c r="J10" s="3" t="s">
        <v>1025</v>
      </c>
      <c r="K10" s="3" t="s">
        <v>1026</v>
      </c>
    </row>
    <row r="11" customFormat="false" ht="48.5" hidden="false" customHeight="false" outlineLevel="0" collapsed="false">
      <c r="A11" s="2" t="s">
        <v>510</v>
      </c>
      <c r="B11" s="3" t="s">
        <v>401</v>
      </c>
      <c r="C11" s="3" t="s">
        <v>23</v>
      </c>
      <c r="D11" s="2" t="s">
        <v>402</v>
      </c>
      <c r="E11" s="2" t="s">
        <v>15</v>
      </c>
      <c r="F11" s="2" t="s">
        <v>403</v>
      </c>
      <c r="G11" s="2" t="s">
        <v>83</v>
      </c>
      <c r="H11" s="3" t="s">
        <v>1027</v>
      </c>
      <c r="I11" s="2" t="s">
        <v>1028</v>
      </c>
      <c r="J11" s="3" t="s">
        <v>1029</v>
      </c>
      <c r="K11" s="3" t="s">
        <v>912</v>
      </c>
    </row>
    <row r="12" customFormat="false" ht="48.5" hidden="false" customHeight="false" outlineLevel="0" collapsed="false">
      <c r="A12" s="2" t="s">
        <v>511</v>
      </c>
      <c r="B12" s="3" t="s">
        <v>512</v>
      </c>
      <c r="C12" s="3" t="s">
        <v>41</v>
      </c>
      <c r="D12" s="2" t="s">
        <v>365</v>
      </c>
      <c r="E12" s="2" t="s">
        <v>15</v>
      </c>
      <c r="F12" s="2" t="s">
        <v>407</v>
      </c>
      <c r="G12" s="2" t="s">
        <v>83</v>
      </c>
      <c r="H12" s="3" t="s">
        <v>1030</v>
      </c>
      <c r="I12" s="2" t="s">
        <v>1031</v>
      </c>
      <c r="J12" s="3" t="s">
        <v>867</v>
      </c>
      <c r="K12" s="3" t="s">
        <v>868</v>
      </c>
    </row>
    <row r="13" customFormat="false" ht="48.5" hidden="false" customHeight="false" outlineLevel="0" collapsed="false">
      <c r="A13" s="2" t="s">
        <v>513</v>
      </c>
      <c r="B13" s="3" t="s">
        <v>514</v>
      </c>
      <c r="C13" s="3" t="s">
        <v>32</v>
      </c>
      <c r="D13" s="2" t="s">
        <v>515</v>
      </c>
      <c r="E13" s="2" t="s">
        <v>15</v>
      </c>
      <c r="F13" s="2" t="s">
        <v>15</v>
      </c>
      <c r="G13" s="2" t="s">
        <v>83</v>
      </c>
      <c r="H13" s="3" t="s">
        <v>1032</v>
      </c>
      <c r="I13" s="2" t="s">
        <v>1033</v>
      </c>
      <c r="J13" s="3" t="s">
        <v>1034</v>
      </c>
      <c r="K13" s="3" t="s">
        <v>1035</v>
      </c>
    </row>
    <row r="14" customFormat="false" ht="32.8" hidden="false" customHeight="false" outlineLevel="0" collapsed="false">
      <c r="A14" s="2" t="s">
        <v>516</v>
      </c>
      <c r="B14" s="3" t="s">
        <v>517</v>
      </c>
      <c r="C14" s="3" t="s">
        <v>75</v>
      </c>
      <c r="D14" s="2" t="s">
        <v>518</v>
      </c>
      <c r="E14" s="2" t="s">
        <v>15</v>
      </c>
      <c r="F14" s="2" t="s">
        <v>15</v>
      </c>
      <c r="G14" s="2" t="s">
        <v>83</v>
      </c>
      <c r="H14" s="3" t="s">
        <v>1036</v>
      </c>
      <c r="I14" s="2" t="s">
        <v>1037</v>
      </c>
      <c r="J14" s="3" t="s">
        <v>1038</v>
      </c>
      <c r="K14" s="3" t="s">
        <v>1039</v>
      </c>
    </row>
    <row r="15" customFormat="false" ht="48.5" hidden="false" customHeight="false" outlineLevel="0" collapsed="false">
      <c r="A15" s="2" t="s">
        <v>519</v>
      </c>
      <c r="B15" s="3" t="s">
        <v>520</v>
      </c>
      <c r="C15" s="3" t="s">
        <v>75</v>
      </c>
      <c r="D15" s="2" t="s">
        <v>521</v>
      </c>
      <c r="E15" s="3" t="e">
        <f aca="false">萧关=</f>
        <v>#N/A</v>
      </c>
      <c r="F15" s="2" t="s">
        <v>15</v>
      </c>
      <c r="G15" s="2" t="s">
        <v>83</v>
      </c>
      <c r="H15" s="3" t="s">
        <v>1040</v>
      </c>
      <c r="I15" s="2" t="s">
        <v>1041</v>
      </c>
      <c r="J15" s="3" t="s">
        <v>1042</v>
      </c>
      <c r="K15" s="3" t="s">
        <v>1043</v>
      </c>
    </row>
    <row r="16" customFormat="false" ht="48.5" hidden="false" customHeight="false" outlineLevel="0" collapsed="false">
      <c r="A16" s="2" t="s">
        <v>522</v>
      </c>
      <c r="B16" s="3" t="s">
        <v>523</v>
      </c>
      <c r="C16" s="3" t="s">
        <v>32</v>
      </c>
      <c r="D16" s="2" t="s">
        <v>524</v>
      </c>
      <c r="E16" s="2" t="s">
        <v>15</v>
      </c>
      <c r="F16" s="2" t="s">
        <v>15</v>
      </c>
      <c r="G16" s="2" t="s">
        <v>83</v>
      </c>
      <c r="H16" s="3" t="s">
        <v>1044</v>
      </c>
      <c r="I16" s="2" t="s">
        <v>1045</v>
      </c>
      <c r="J16" s="3" t="s">
        <v>1046</v>
      </c>
      <c r="K16" s="3" t="s">
        <v>1047</v>
      </c>
    </row>
    <row r="17" customFormat="false" ht="64.15" hidden="false" customHeight="false" outlineLevel="0" collapsed="false">
      <c r="A17" s="2" t="s">
        <v>525</v>
      </c>
      <c r="B17" s="3" t="s">
        <v>526</v>
      </c>
      <c r="C17" s="3" t="s">
        <v>75</v>
      </c>
      <c r="D17" s="2" t="s">
        <v>527</v>
      </c>
      <c r="E17" s="3" t="e">
        <f aca="false">细柳=</f>
        <v>#N/A</v>
      </c>
      <c r="F17" s="2" t="s">
        <v>528</v>
      </c>
      <c r="G17" s="2" t="s">
        <v>83</v>
      </c>
      <c r="H17" s="3" t="s">
        <v>1048</v>
      </c>
      <c r="I17" s="2" t="s">
        <v>1049</v>
      </c>
      <c r="J17" s="3" t="s">
        <v>1050</v>
      </c>
      <c r="K17" s="3" t="s">
        <v>1051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1.84"/>
    <col collapsed="false" customWidth="true" hidden="false" outlineLevel="0" max="3" min="3" style="0" width="9.1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1052</v>
      </c>
    </row>
    <row r="2" customFormat="false" ht="15" hidden="false" customHeight="false" outlineLevel="0" collapsed="false">
      <c r="A2" s="5" t="s">
        <v>9</v>
      </c>
      <c r="B2" s="6" t="s">
        <v>10</v>
      </c>
      <c r="C2" s="6" t="n">
        <v>16</v>
      </c>
    </row>
    <row r="3" customFormat="false" ht="15" hidden="false" customHeight="false" outlineLevel="0" collapsed="false">
      <c r="A3" s="5" t="s">
        <v>84</v>
      </c>
      <c r="B3" s="6" t="s">
        <v>85</v>
      </c>
      <c r="C3" s="6" t="n">
        <v>12</v>
      </c>
    </row>
    <row r="4" customFormat="false" ht="15" hidden="false" customHeight="false" outlineLevel="0" collapsed="false">
      <c r="A4" s="5" t="s">
        <v>136</v>
      </c>
      <c r="B4" s="6" t="s">
        <v>137</v>
      </c>
      <c r="C4" s="6" t="n">
        <v>33</v>
      </c>
    </row>
    <row r="5" customFormat="false" ht="15" hidden="false" customHeight="false" outlineLevel="0" collapsed="false">
      <c r="A5" s="5" t="s">
        <v>271</v>
      </c>
      <c r="B5" s="6" t="s">
        <v>272</v>
      </c>
      <c r="C5" s="6" t="n">
        <v>19</v>
      </c>
    </row>
    <row r="6" customFormat="false" ht="15" hidden="false" customHeight="false" outlineLevel="0" collapsed="false">
      <c r="A6" s="5" t="s">
        <v>335</v>
      </c>
      <c r="B6" s="6" t="s">
        <v>336</v>
      </c>
      <c r="C6" s="6" t="n">
        <v>11</v>
      </c>
    </row>
    <row r="7" customFormat="false" ht="15" hidden="false" customHeight="false" outlineLevel="0" collapsed="false">
      <c r="A7" s="5" t="s">
        <v>372</v>
      </c>
      <c r="B7" s="6" t="s">
        <v>373</v>
      </c>
      <c r="C7" s="6" t="n">
        <v>11</v>
      </c>
    </row>
    <row r="8" customFormat="false" ht="15" hidden="false" customHeight="false" outlineLevel="0" collapsed="false">
      <c r="A8" s="5" t="s">
        <v>412</v>
      </c>
      <c r="B8" s="6" t="s">
        <v>413</v>
      </c>
      <c r="C8" s="6" t="n">
        <v>8</v>
      </c>
    </row>
    <row r="9" customFormat="false" ht="15" hidden="false" customHeight="false" outlineLevel="0" collapsed="false">
      <c r="A9" s="5" t="s">
        <v>440</v>
      </c>
      <c r="B9" s="6" t="s">
        <v>441</v>
      </c>
      <c r="C9" s="6" t="n">
        <v>10</v>
      </c>
    </row>
    <row r="10" customFormat="false" ht="15" hidden="false" customHeight="false" outlineLevel="0" collapsed="false">
      <c r="A10" s="5" t="s">
        <v>474</v>
      </c>
      <c r="B10" s="6" t="s">
        <v>475</v>
      </c>
      <c r="C10" s="6" t="n">
        <v>3</v>
      </c>
    </row>
    <row r="11" customFormat="false" ht="15" hidden="false" customHeight="false" outlineLevel="0" collapsed="false">
      <c r="A11" s="5" t="s">
        <v>484</v>
      </c>
      <c r="B11" s="6" t="s">
        <v>485</v>
      </c>
      <c r="C11" s="6" t="n">
        <v>16</v>
      </c>
    </row>
    <row r="12" customFormat="false" ht="15" hidden="false" customHeight="false" outlineLevel="0" collapsed="false">
      <c r="B12" s="7" t="s">
        <v>1053</v>
      </c>
      <c r="C12" s="0" t="n">
        <f aca="false">SUM(C2:C11)</f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2026-03-11T01:29:28Z</dcterms:created>
  <dc:creator>openpyxl</dc:creator>
  <dc:description/>
  <dc:language>zh-CN</dc:language>
  <cp:lastModifiedBy/>
  <dcterms:modified xsi:type="dcterms:W3CDTF">2026-03-11T01:29:28Z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